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517" documentId="13_ncr:1_{FBBB51D9-8AD3-4C6B-A21A-B98EDB197521}" xr6:coauthVersionLast="47" xr6:coauthVersionMax="47" xr10:uidLastSave="{D795DEE3-F9A5-4C06-B53C-4D7BC92FE139}"/>
  <bookViews>
    <workbookView xWindow="-98" yWindow="-98" windowWidth="19396" windowHeight="11475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2" l="1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<sst xmlns="http://schemas.openxmlformats.org/spreadsheetml/2006/main" count="105" uniqueCount="11">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</sst>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2"/>
  <sheetViews>
    <sheetView tabSelected="1" zoomScale="115" zoomScaleNormal="115" workbookViewId="0">
      <pane ySplit="1" topLeftCell="A49" activePane="bottomLeft" state="frozen"/>
      <selection pane="bottomLeft" activeCell="D65" sqref="D65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8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8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</row>
    <row r="3" spans="1:8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</row>
    <row r="4" spans="1:8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</row>
    <row r="5" spans="1:8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8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8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8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8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8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8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8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8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8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8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8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8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8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8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8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8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8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8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8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8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8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8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8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8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8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</row>
    <row r="31" spans="1:8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</row>
    <row r="32" spans="1:8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11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11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11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11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11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11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  <row r="55" spans="1:11" x14ac:dyDescent="0.45">
      <c r="A55" s="3">
        <v>54</v>
      </c>
      <c r="B55" s="3" t="s">
        <v>2</v>
      </c>
      <c r="C55" s="4">
        <v>46191</v>
      </c>
      <c r="D55" s="21">
        <v>38.700000000000003</v>
      </c>
      <c r="E55" s="21">
        <v>39.25</v>
      </c>
      <c r="F55" s="21">
        <v>38.6</v>
      </c>
      <c r="G55" s="21">
        <v>39</v>
      </c>
      <c r="H55" s="19">
        <v>1549000</v>
      </c>
    </row>
    <row r="56" spans="1:11" ht="15" customHeight="1" x14ac:dyDescent="0.45">
      <c r="A56" s="3">
        <v>55</v>
      </c>
      <c r="B56" s="3" t="s">
        <v>2</v>
      </c>
      <c r="C56" s="4">
        <v>46192</v>
      </c>
      <c r="D56" s="21">
        <v>39.1</v>
      </c>
      <c r="E56" s="21">
        <v>39.15</v>
      </c>
      <c r="F56" s="21">
        <v>38.6</v>
      </c>
      <c r="G56" s="21">
        <v>38.65</v>
      </c>
      <c r="H56" s="19">
        <v>1532600</v>
      </c>
    </row>
    <row r="57" spans="1:11" x14ac:dyDescent="0.45">
      <c r="A57" s="3">
        <v>56</v>
      </c>
      <c r="B57" s="3" t="s">
        <v>2</v>
      </c>
      <c r="C57" s="4">
        <v>46195</v>
      </c>
      <c r="D57" s="21">
        <v>38.799999999999997</v>
      </c>
      <c r="E57" s="21">
        <v>39.299999999999997</v>
      </c>
      <c r="F57" s="21">
        <v>38.65</v>
      </c>
      <c r="G57" s="21">
        <v>38.65</v>
      </c>
      <c r="H57" s="19">
        <v>1872100</v>
      </c>
    </row>
    <row r="58" spans="1:11" x14ac:dyDescent="0.45">
      <c r="A58" s="3">
        <v>57</v>
      </c>
      <c r="B58" s="3" t="s">
        <v>2</v>
      </c>
      <c r="C58" s="4">
        <v>46196</v>
      </c>
      <c r="D58" s="21">
        <v>38.9</v>
      </c>
      <c r="E58" s="21">
        <v>38.9</v>
      </c>
      <c r="F58" s="21">
        <v>37.450000000000003</v>
      </c>
      <c r="G58" s="21">
        <v>37.700000000000003</v>
      </c>
      <c r="H58" s="19">
        <v>4318200</v>
      </c>
      <c r="K58" s="5"/>
    </row>
    <row r="59" spans="1:11" x14ac:dyDescent="0.45">
      <c r="A59" s="3">
        <v>58</v>
      </c>
      <c r="B59" s="3" t="s">
        <v>2</v>
      </c>
      <c r="C59" s="4">
        <v>46197</v>
      </c>
      <c r="D59" s="21">
        <v>37.75</v>
      </c>
      <c r="E59" s="21">
        <v>38.200000000000003</v>
      </c>
      <c r="F59" s="21">
        <v>36.85</v>
      </c>
      <c r="G59" s="21">
        <v>37.799999999999997</v>
      </c>
      <c r="H59" s="19">
        <v>1914700</v>
      </c>
    </row>
    <row r="60" spans="1:11" x14ac:dyDescent="0.45">
      <c r="A60" s="3">
        <v>59</v>
      </c>
      <c r="B60" s="3" t="s">
        <v>2</v>
      </c>
      <c r="C60" s="4">
        <v>46198</v>
      </c>
      <c r="D60" s="21">
        <v>37.75</v>
      </c>
      <c r="E60" s="21">
        <v>37.799999999999997</v>
      </c>
      <c r="F60" s="21">
        <v>37</v>
      </c>
      <c r="G60" s="21">
        <v>37.25</v>
      </c>
      <c r="H60" s="19">
        <v>907100</v>
      </c>
    </row>
    <row r="61" spans="1:11" x14ac:dyDescent="0.45">
      <c r="A61" s="3">
        <v>60</v>
      </c>
      <c r="B61" s="3" t="s">
        <v>2</v>
      </c>
      <c r="C61" s="4">
        <v>46199</v>
      </c>
      <c r="D61" s="21">
        <v>37.4</v>
      </c>
      <c r="E61" s="21">
        <v>37.549999999999997</v>
      </c>
      <c r="F61" s="21">
        <v>36.799999999999997</v>
      </c>
      <c r="G61" s="21">
        <v>36.799999999999997</v>
      </c>
      <c r="H61" s="19">
        <v>1716200</v>
      </c>
    </row>
    <row r="62" spans="1:11" x14ac:dyDescent="0.45">
      <c r="A62" s="3">
        <v>61</v>
      </c>
      <c r="B62" s="3" t="s">
        <v>2</v>
      </c>
      <c r="C62" s="4">
        <v>46202</v>
      </c>
      <c r="D62" s="21">
        <v>36.9</v>
      </c>
      <c r="E62" s="21">
        <v>37.75</v>
      </c>
      <c r="F62" s="21">
        <v>36.85</v>
      </c>
      <c r="G62" s="21">
        <v>37.25</v>
      </c>
      <c r="H62" s="19">
        <v>1256200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33"/>
  <sheetViews>
    <sheetView topLeftCell="A15" zoomScaleNormal="100" workbookViewId="0">
      <selection activeCell="D33" sqref="D33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  <row r="26" spans="1:4" x14ac:dyDescent="0.45">
      <c r="A26" s="11">
        <v>25</v>
      </c>
      <c r="B26" s="14" t="s">
        <v>2</v>
      </c>
      <c r="C26" s="15">
        <v>46191</v>
      </c>
      <c r="D26" s="16">
        <f>AVERAGE('Lịch sử giá'!G26:G55)</f>
        <v>40.286666666666669</v>
      </c>
    </row>
    <row r="27" spans="1:4" x14ac:dyDescent="0.45">
      <c r="A27" s="11">
        <v>26</v>
      </c>
      <c r="B27" s="14" t="s">
        <v>2</v>
      </c>
      <c r="C27" s="15">
        <v>46192</v>
      </c>
      <c r="D27" s="16">
        <f>AVERAGE('Lịch sử giá'!G27:G56)</f>
        <v>40.321666666666673</v>
      </c>
    </row>
    <row r="28" spans="1:4" x14ac:dyDescent="0.45">
      <c r="A28" s="11">
        <v>27</v>
      </c>
      <c r="B28" s="14" t="s">
        <v>2</v>
      </c>
      <c r="C28" s="15">
        <v>46195</v>
      </c>
      <c r="D28" s="16">
        <f>AVERAGE('Lịch sử giá'!G28:G57)</f>
        <v>40.38333333333334</v>
      </c>
    </row>
    <row r="29" spans="1:4" x14ac:dyDescent="0.45">
      <c r="A29" s="11">
        <v>28</v>
      </c>
      <c r="B29" s="14" t="s">
        <v>2</v>
      </c>
      <c r="C29" s="15">
        <v>46196</v>
      </c>
      <c r="D29" s="16">
        <f>AVERAGE('Lịch sử giá'!G29:G58)</f>
        <v>40.38000000000001</v>
      </c>
    </row>
    <row r="30" spans="1:4" x14ac:dyDescent="0.45">
      <c r="A30" s="11">
        <v>29</v>
      </c>
      <c r="B30" s="14" t="s">
        <v>2</v>
      </c>
      <c r="C30" s="15">
        <v>46197</v>
      </c>
      <c r="D30" s="16">
        <f>AVERAGE('Lịch sử giá'!G30:G59)</f>
        <v>40.295000000000002</v>
      </c>
    </row>
    <row r="31" spans="1:4" x14ac:dyDescent="0.45">
      <c r="A31" s="11">
        <v>30</v>
      </c>
      <c r="B31" s="14" t="s">
        <v>2</v>
      </c>
      <c r="C31" s="15">
        <v>46198</v>
      </c>
      <c r="D31" s="16">
        <f>AVERAGE('Lịch sử giá'!G31:G60)</f>
        <v>40.208333333333336</v>
      </c>
    </row>
    <row r="32" spans="1:4" x14ac:dyDescent="0.45">
      <c r="A32" s="11">
        <v>31</v>
      </c>
      <c r="B32" s="14" t="s">
        <v>2</v>
      </c>
      <c r="C32" s="15">
        <v>46199</v>
      </c>
      <c r="D32" s="16">
        <f>AVERAGE('Lịch sử giá'!G32:G61)</f>
        <v>40.028333333333329</v>
      </c>
    </row>
    <row r="33" spans="1:4" x14ac:dyDescent="0.45">
      <c r="A33" s="11">
        <v>32</v>
      </c>
      <c r="B33" s="14" t="s">
        <v>2</v>
      </c>
      <c r="C33" s="15">
        <v>46202</v>
      </c>
      <c r="D33" s="16">
        <f>AVERAGE('Lịch sử giá'!G33:G62)</f>
        <v>39.764999999999993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2026-06-29T10:06:53Z</dcterms:modified>
</cp:coreProperties>
</file>