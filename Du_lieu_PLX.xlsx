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pdoanxangdau-my.sharepoint.com/personal/hiepnm_petrolimex_com_vn/Documents/01/Tập đoàn/Cổ phiếu quỹ/PLX_web/"/>
    </mc:Choice>
  </mc:AlternateContent>
  <xr:revisionPtr revIDLastSave="560" documentId="13_ncr:1_{FBBB51D9-8AD3-4C6B-A21A-B98EDB197521}" xr6:coauthVersionLast="47" xr6:coauthVersionMax="47" xr10:uidLastSave="{FB218B7C-10D8-47D7-9540-6AC6EC31835F}"/>
  <bookViews>
    <workbookView xWindow="-98" yWindow="-98" windowWidth="19396" windowHeight="11475" activeTab="1" xr2:uid="{00000000-000D-0000-FFFF-FFFF00000000}"/>
  </bookViews>
  <sheets>
    <sheet name="Lịch sử giá" sheetId="1" r:id="rId1"/>
    <sheet name="Giá trung bình (30 ngày)" sheetId="2" r:id="rId2"/>
  </sheets>
  <definedNames>
    <definedName name="_xlnm._FilterDatabase" localSheetId="0" hidden="1">'Lịch sử giá'!$D$1:$G$30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2" l="1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<sst xmlns="http://schemas.openxmlformats.org/spreadsheetml/2006/main" count="111" uniqueCount="11">
  <si>
    <t>Mã</t>
  </si>
  <si>
    <t>Ngày</t>
  </si>
  <si>
    <t>PLX</t>
  </si>
  <si>
    <t>STT</t>
  </si>
  <si>
    <t>Giá trung bình (30 ngày giao dịch gần nhất)</t>
  </si>
  <si>
    <t>Mã CP</t>
  </si>
  <si>
    <t>Giá mở cửa</t>
  </si>
  <si>
    <t>Giá cao nhất</t>
  </si>
  <si>
    <t>Giá thấp nhất</t>
  </si>
  <si>
    <t>Giá đóng cửa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</si>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</sst>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2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14" fontId="2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/>
    <xf numFmtId="3" fontId="1" fillId="2" borderId="1" xfId="0" applyNumberFormat="1" applyFont="1" applyFill="1" applyBorder="1" applyAlignment="1">
      <alignment horizontal="center" vertical="center"/>
    </xf>
    <xf numFmtId="3" fontId="2" fillId="0" borderId="0" xfId="0" applyNumberFormat="1" applyFont="1"/>
    <xf numFmtId="3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zoomScale="115" zoomScaleNormal="115" workbookViewId="0">
      <pane ySplit="1" topLeftCell="A59" activePane="bottomLeft" state="frozen"/>
      <selection pane="bottomLeft" activeCell="H66" sqref="H66"/>
    </sheetView>
  </sheetViews>
  <sheetFormatPr defaultColWidth="8.86328125" defaultRowHeight="15.4" x14ac:dyDescent="0.45"/>
  <cols>
    <col min="1" max="1" width="5.1328125" style="1" bestFit="1" customWidth="1"/>
    <col min="2" max="2" width="7.86328125" style="1" bestFit="1" customWidth="1"/>
    <col min="3" max="3" width="11.19921875" style="6" bestFit="1" customWidth="1"/>
    <col min="4" max="4" width="12.1328125" style="1" bestFit="1" customWidth="1"/>
    <col min="5" max="5" width="13.19921875" style="1" bestFit="1" customWidth="1"/>
    <col min="6" max="6" width="14.46484375" style="1" bestFit="1" customWidth="1"/>
    <col min="7" max="7" width="13.86328125" style="5" bestFit="1" customWidth="1"/>
    <col min="8" max="8" width="15.6640625" style="18" bestFit="1" customWidth="1"/>
    <col min="9" max="16384" width="8.86328125" style="1"/>
  </cols>
  <sheetData>
    <row r="1" spans="1:8" s="2" customFormat="1" ht="20" customHeight="1" x14ac:dyDescent="0.45">
      <c r="A1" s="7" t="s">
        <v>3</v>
      </c>
      <c r="B1" s="7" t="s">
        <v>5</v>
      </c>
      <c r="C1" s="8" t="s">
        <v>1</v>
      </c>
      <c r="D1" s="7" t="s">
        <v>6</v>
      </c>
      <c r="E1" s="7" t="s">
        <v>7</v>
      </c>
      <c r="F1" s="7" t="s">
        <v>8</v>
      </c>
      <c r="G1" s="9" t="s">
        <v>9</v>
      </c>
      <c r="H1" s="17" t="s">
        <v>10</v>
      </c>
    </row>
    <row r="2" spans="1:8" x14ac:dyDescent="0.45">
      <c r="A2" s="3">
        <v>1</v>
      </c>
      <c r="B2" s="3" t="s">
        <v>2</v>
      </c>
      <c r="C2" s="4">
        <v>46113</v>
      </c>
      <c r="D2" s="20">
        <v>41.1</v>
      </c>
      <c r="E2" s="20">
        <v>41.85</v>
      </c>
      <c r="F2" s="21">
        <v>40.5</v>
      </c>
      <c r="G2" s="21">
        <v>40.700000000000003</v>
      </c>
      <c r="H2" s="19">
        <v>4263100</v>
      </c>
    </row>
    <row r="3" spans="1:8" x14ac:dyDescent="0.45">
      <c r="A3" s="3">
        <v>2</v>
      </c>
      <c r="B3" s="3" t="s">
        <v>2</v>
      </c>
      <c r="C3" s="4">
        <v>46114</v>
      </c>
      <c r="D3" s="20">
        <v>41</v>
      </c>
      <c r="E3" s="20">
        <v>41.45</v>
      </c>
      <c r="F3" s="21">
        <v>40.049999999999997</v>
      </c>
      <c r="G3" s="21">
        <v>40.4</v>
      </c>
      <c r="H3" s="19">
        <v>2560600</v>
      </c>
    </row>
    <row r="4" spans="1:8" x14ac:dyDescent="0.45">
      <c r="A4" s="3">
        <v>3</v>
      </c>
      <c r="B4" s="3" t="s">
        <v>2</v>
      </c>
      <c r="C4" s="4">
        <v>46115</v>
      </c>
      <c r="D4" s="20">
        <v>40.9</v>
      </c>
      <c r="E4" s="20">
        <v>41.35</v>
      </c>
      <c r="F4" s="21">
        <v>40.200000000000003</v>
      </c>
      <c r="G4" s="21">
        <v>40.200000000000003</v>
      </c>
      <c r="H4" s="19">
        <v>2933800</v>
      </c>
    </row>
    <row r="5" spans="1:8" x14ac:dyDescent="0.45">
      <c r="A5" s="3">
        <v>4</v>
      </c>
      <c r="B5" s="3" t="s">
        <v>2</v>
      </c>
      <c r="C5" s="4">
        <v>46118</v>
      </c>
      <c r="D5" s="20">
        <v>40.200000000000003</v>
      </c>
      <c r="E5" s="20">
        <v>40.200000000000003</v>
      </c>
      <c r="F5" s="21">
        <v>38.9</v>
      </c>
      <c r="G5" s="21">
        <v>38.9</v>
      </c>
      <c r="H5" s="19">
        <v>3124000</v>
      </c>
    </row>
    <row r="6" spans="1:8" x14ac:dyDescent="0.45">
      <c r="A6" s="3">
        <v>5</v>
      </c>
      <c r="B6" s="3" t="s">
        <v>2</v>
      </c>
      <c r="C6" s="4">
        <v>46119</v>
      </c>
      <c r="D6" s="20">
        <v>38.950000000000003</v>
      </c>
      <c r="E6" s="20">
        <v>39.549999999999997</v>
      </c>
      <c r="F6" s="21">
        <v>38.549999999999997</v>
      </c>
      <c r="G6" s="21">
        <v>38.6</v>
      </c>
      <c r="H6" s="19">
        <v>1984000</v>
      </c>
    </row>
    <row r="7" spans="1:8" x14ac:dyDescent="0.45">
      <c r="A7" s="3">
        <v>6</v>
      </c>
      <c r="B7" s="3" t="s">
        <v>2</v>
      </c>
      <c r="C7" s="4">
        <v>46120</v>
      </c>
      <c r="D7" s="20">
        <v>39.5</v>
      </c>
      <c r="E7" s="20">
        <v>40.75</v>
      </c>
      <c r="F7" s="21">
        <v>38.950000000000003</v>
      </c>
      <c r="G7" s="21">
        <v>40.5</v>
      </c>
      <c r="H7" s="19">
        <v>3490600</v>
      </c>
    </row>
    <row r="8" spans="1:8" x14ac:dyDescent="0.45">
      <c r="A8" s="3">
        <v>7</v>
      </c>
      <c r="B8" s="3" t="s">
        <v>2</v>
      </c>
      <c r="C8" s="4">
        <v>46121</v>
      </c>
      <c r="D8" s="20">
        <v>40.5</v>
      </c>
      <c r="E8" s="20">
        <v>40.5</v>
      </c>
      <c r="F8" s="21">
        <v>39.5</v>
      </c>
      <c r="G8" s="21">
        <v>39.5</v>
      </c>
      <c r="H8" s="19">
        <v>2983000</v>
      </c>
    </row>
    <row r="9" spans="1:8" x14ac:dyDescent="0.45">
      <c r="A9" s="3">
        <v>8</v>
      </c>
      <c r="B9" s="3" t="s">
        <v>2</v>
      </c>
      <c r="C9" s="4">
        <v>46122</v>
      </c>
      <c r="D9" s="20">
        <v>39.950000000000003</v>
      </c>
      <c r="E9" s="20">
        <v>42</v>
      </c>
      <c r="F9" s="21">
        <v>39.549999999999997</v>
      </c>
      <c r="G9" s="21">
        <v>41.15</v>
      </c>
      <c r="H9" s="19">
        <v>5697200</v>
      </c>
    </row>
    <row r="10" spans="1:8" x14ac:dyDescent="0.45">
      <c r="A10" s="3">
        <v>9</v>
      </c>
      <c r="B10" s="3" t="s">
        <v>2</v>
      </c>
      <c r="C10" s="4">
        <v>46125</v>
      </c>
      <c r="D10" s="20">
        <v>41.9</v>
      </c>
      <c r="E10" s="20">
        <v>41.95</v>
      </c>
      <c r="F10" s="21">
        <v>40.5</v>
      </c>
      <c r="G10" s="21">
        <v>40.700000000000003</v>
      </c>
      <c r="H10" s="19">
        <v>3019000</v>
      </c>
    </row>
    <row r="11" spans="1:8" x14ac:dyDescent="0.45">
      <c r="A11" s="3">
        <v>10</v>
      </c>
      <c r="B11" s="3" t="s">
        <v>2</v>
      </c>
      <c r="C11" s="4">
        <v>46126</v>
      </c>
      <c r="D11" s="20">
        <v>41.2</v>
      </c>
      <c r="E11" s="20">
        <v>41.2</v>
      </c>
      <c r="F11" s="21">
        <v>40.1</v>
      </c>
      <c r="G11" s="21">
        <v>40.15</v>
      </c>
      <c r="H11" s="19">
        <v>2218200</v>
      </c>
    </row>
    <row r="12" spans="1:8" x14ac:dyDescent="0.45">
      <c r="A12" s="3">
        <v>11</v>
      </c>
      <c r="B12" s="3" t="s">
        <v>2</v>
      </c>
      <c r="C12" s="4">
        <v>46127</v>
      </c>
      <c r="D12" s="20">
        <v>40.15</v>
      </c>
      <c r="E12" s="20">
        <v>40.700000000000003</v>
      </c>
      <c r="F12" s="21">
        <v>39.65</v>
      </c>
      <c r="G12" s="21">
        <v>39.799999999999997</v>
      </c>
      <c r="H12" s="19">
        <v>2864800</v>
      </c>
    </row>
    <row r="13" spans="1:8" x14ac:dyDescent="0.45">
      <c r="A13" s="3">
        <v>12</v>
      </c>
      <c r="B13" s="3" t="s">
        <v>2</v>
      </c>
      <c r="C13" s="4">
        <v>46128</v>
      </c>
      <c r="D13" s="20">
        <v>40.1</v>
      </c>
      <c r="E13" s="20">
        <v>40.1</v>
      </c>
      <c r="F13" s="21">
        <v>38.9</v>
      </c>
      <c r="G13" s="21">
        <v>39.1</v>
      </c>
      <c r="H13" s="19">
        <v>3333400</v>
      </c>
    </row>
    <row r="14" spans="1:8" x14ac:dyDescent="0.45">
      <c r="A14" s="3">
        <v>13</v>
      </c>
      <c r="B14" s="3" t="s">
        <v>2</v>
      </c>
      <c r="C14" s="4">
        <v>46129</v>
      </c>
      <c r="D14" s="20">
        <v>39.4</v>
      </c>
      <c r="E14" s="20">
        <v>40.450000000000003</v>
      </c>
      <c r="F14" s="21">
        <v>38.950000000000003</v>
      </c>
      <c r="G14" s="21">
        <v>39.950000000000003</v>
      </c>
      <c r="H14" s="19">
        <v>2901300</v>
      </c>
    </row>
    <row r="15" spans="1:8" x14ac:dyDescent="0.45">
      <c r="A15" s="3">
        <v>14</v>
      </c>
      <c r="B15" s="3" t="s">
        <v>2</v>
      </c>
      <c r="C15" s="4">
        <v>46132</v>
      </c>
      <c r="D15" s="20">
        <v>40.1</v>
      </c>
      <c r="E15" s="20">
        <v>40.299999999999997</v>
      </c>
      <c r="F15" s="21">
        <v>39.299999999999997</v>
      </c>
      <c r="G15" s="21">
        <v>39.450000000000003</v>
      </c>
      <c r="H15" s="19">
        <v>1765400</v>
      </c>
    </row>
    <row r="16" spans="1:8" x14ac:dyDescent="0.45">
      <c r="A16" s="3">
        <v>15</v>
      </c>
      <c r="B16" s="3" t="s">
        <v>2</v>
      </c>
      <c r="C16" s="4">
        <v>46133</v>
      </c>
      <c r="D16" s="20">
        <v>39.450000000000003</v>
      </c>
      <c r="E16" s="20">
        <v>40</v>
      </c>
      <c r="F16" s="21">
        <v>39.299999999999997</v>
      </c>
      <c r="G16" s="21">
        <v>39.35</v>
      </c>
      <c r="H16" s="19">
        <v>1986400</v>
      </c>
    </row>
    <row r="17" spans="1:8" x14ac:dyDescent="0.45">
      <c r="A17" s="3">
        <v>16</v>
      </c>
      <c r="B17" s="3" t="s">
        <v>2</v>
      </c>
      <c r="C17" s="4">
        <v>46134</v>
      </c>
      <c r="D17" s="20">
        <v>39.6</v>
      </c>
      <c r="E17" s="20">
        <v>39.6</v>
      </c>
      <c r="F17" s="21">
        <v>39</v>
      </c>
      <c r="G17" s="21">
        <v>39</v>
      </c>
      <c r="H17" s="19">
        <v>1910900</v>
      </c>
    </row>
    <row r="18" spans="1:8" x14ac:dyDescent="0.45">
      <c r="A18" s="3">
        <v>17</v>
      </c>
      <c r="B18" s="3" t="s">
        <v>2</v>
      </c>
      <c r="C18" s="4">
        <v>46135</v>
      </c>
      <c r="D18" s="20">
        <v>39.1</v>
      </c>
      <c r="E18" s="20">
        <v>39.700000000000003</v>
      </c>
      <c r="F18" s="21">
        <v>38</v>
      </c>
      <c r="G18" s="21">
        <v>39.299999999999997</v>
      </c>
      <c r="H18" s="19">
        <v>3786500</v>
      </c>
    </row>
    <row r="19" spans="1:8" x14ac:dyDescent="0.45">
      <c r="A19" s="3">
        <v>18</v>
      </c>
      <c r="B19" s="3" t="s">
        <v>2</v>
      </c>
      <c r="C19" s="4">
        <v>46136</v>
      </c>
      <c r="D19" s="20">
        <v>39.65</v>
      </c>
      <c r="E19" s="20">
        <v>41.35</v>
      </c>
      <c r="F19" s="21">
        <v>39.549999999999997</v>
      </c>
      <c r="G19" s="21">
        <v>39.700000000000003</v>
      </c>
      <c r="H19" s="19">
        <v>6401800</v>
      </c>
    </row>
    <row r="20" spans="1:8" x14ac:dyDescent="0.45">
      <c r="A20" s="3">
        <v>19</v>
      </c>
      <c r="B20" s="3" t="s">
        <v>2</v>
      </c>
      <c r="C20" s="4">
        <v>46140</v>
      </c>
      <c r="D20" s="20">
        <v>38.200000000000003</v>
      </c>
      <c r="E20" s="20">
        <v>39.200000000000003</v>
      </c>
      <c r="F20" s="21">
        <v>36.950000000000003</v>
      </c>
      <c r="G20" s="21">
        <v>36.950000000000003</v>
      </c>
      <c r="H20" s="19">
        <v>6503400</v>
      </c>
    </row>
    <row r="21" spans="1:8" x14ac:dyDescent="0.45">
      <c r="A21" s="3">
        <v>20</v>
      </c>
      <c r="B21" s="3" t="s">
        <v>2</v>
      </c>
      <c r="C21" s="4">
        <v>46141</v>
      </c>
      <c r="D21" s="20">
        <v>37</v>
      </c>
      <c r="E21" s="20">
        <v>37.450000000000003</v>
      </c>
      <c r="F21" s="21">
        <v>36.25</v>
      </c>
      <c r="G21" s="21">
        <v>37.15</v>
      </c>
      <c r="H21" s="19">
        <v>3564100</v>
      </c>
    </row>
    <row r="22" spans="1:8" x14ac:dyDescent="0.45">
      <c r="A22" s="3">
        <v>21</v>
      </c>
      <c r="B22" s="3" t="s">
        <v>2</v>
      </c>
      <c r="C22" s="4">
        <v>46146</v>
      </c>
      <c r="D22" s="20">
        <v>38.5</v>
      </c>
      <c r="E22" s="20">
        <v>39.75</v>
      </c>
      <c r="F22" s="21">
        <v>38.1</v>
      </c>
      <c r="G22" s="21">
        <v>38.700000000000003</v>
      </c>
      <c r="H22" s="19">
        <v>4403600</v>
      </c>
    </row>
    <row r="23" spans="1:8" x14ac:dyDescent="0.45">
      <c r="A23" s="3">
        <v>22</v>
      </c>
      <c r="B23" s="3" t="s">
        <v>2</v>
      </c>
      <c r="C23" s="4">
        <v>46147</v>
      </c>
      <c r="D23" s="20">
        <v>38.65</v>
      </c>
      <c r="E23" s="20">
        <v>39.700000000000003</v>
      </c>
      <c r="F23" s="21">
        <v>37.799999999999997</v>
      </c>
      <c r="G23" s="21">
        <v>39.25</v>
      </c>
      <c r="H23" s="19">
        <v>3878000</v>
      </c>
    </row>
    <row r="24" spans="1:8" x14ac:dyDescent="0.45">
      <c r="A24" s="3">
        <v>23</v>
      </c>
      <c r="B24" s="3" t="s">
        <v>2</v>
      </c>
      <c r="C24" s="4">
        <v>46148</v>
      </c>
      <c r="D24" s="20">
        <v>39.25</v>
      </c>
      <c r="E24" s="20">
        <v>39.6</v>
      </c>
      <c r="F24" s="21">
        <v>38.65</v>
      </c>
      <c r="G24" s="21">
        <v>39</v>
      </c>
      <c r="H24" s="19">
        <v>3098200</v>
      </c>
    </row>
    <row r="25" spans="1:8" x14ac:dyDescent="0.45">
      <c r="A25" s="3">
        <v>24</v>
      </c>
      <c r="B25" s="3" t="s">
        <v>2</v>
      </c>
      <c r="C25" s="4">
        <v>46149</v>
      </c>
      <c r="D25" s="20">
        <v>38.9</v>
      </c>
      <c r="E25" s="20">
        <v>38.9</v>
      </c>
      <c r="F25" s="21">
        <v>37.700000000000003</v>
      </c>
      <c r="G25" s="21">
        <v>37.700000000000003</v>
      </c>
      <c r="H25" s="19">
        <v>4485600</v>
      </c>
    </row>
    <row r="26" spans="1:8" x14ac:dyDescent="0.45">
      <c r="A26" s="3">
        <v>25</v>
      </c>
      <c r="B26" s="3" t="s">
        <v>2</v>
      </c>
      <c r="C26" s="4">
        <v>46150</v>
      </c>
      <c r="D26" s="20">
        <v>38.1</v>
      </c>
      <c r="E26" s="20">
        <v>38.35</v>
      </c>
      <c r="F26" s="21">
        <v>37.5</v>
      </c>
      <c r="G26" s="21">
        <v>37.6</v>
      </c>
      <c r="H26" s="19">
        <v>1959300</v>
      </c>
    </row>
    <row r="27" spans="1:8" x14ac:dyDescent="0.45">
      <c r="A27" s="3">
        <v>26</v>
      </c>
      <c r="B27" s="3" t="s">
        <v>2</v>
      </c>
      <c r="C27" s="4">
        <v>46153</v>
      </c>
      <c r="D27" s="20">
        <v>38</v>
      </c>
      <c r="E27" s="20">
        <v>38</v>
      </c>
      <c r="F27" s="21">
        <v>36.6</v>
      </c>
      <c r="G27" s="21">
        <v>36.799999999999997</v>
      </c>
      <c r="H27" s="19">
        <v>5094400</v>
      </c>
    </row>
    <row r="28" spans="1:8" x14ac:dyDescent="0.45">
      <c r="A28" s="3">
        <v>27</v>
      </c>
      <c r="B28" s="3" t="s">
        <v>2</v>
      </c>
      <c r="C28" s="4">
        <v>46154</v>
      </c>
      <c r="D28" s="20">
        <v>37.200000000000003</v>
      </c>
      <c r="E28" s="21">
        <v>37.9</v>
      </c>
      <c r="F28" s="21">
        <v>37</v>
      </c>
      <c r="G28" s="21">
        <v>37.799999999999997</v>
      </c>
      <c r="H28" s="19">
        <v>1738800</v>
      </c>
    </row>
    <row r="29" spans="1:8" x14ac:dyDescent="0.45">
      <c r="A29" s="3">
        <v>28</v>
      </c>
      <c r="B29" s="3" t="s">
        <v>2</v>
      </c>
      <c r="C29" s="4">
        <v>46155</v>
      </c>
      <c r="D29" s="20">
        <v>37.799999999999997</v>
      </c>
      <c r="E29" s="21">
        <v>40.4</v>
      </c>
      <c r="F29" s="21">
        <v>37.5</v>
      </c>
      <c r="G29" s="21">
        <v>40.35</v>
      </c>
      <c r="H29" s="19">
        <v>10796000</v>
      </c>
    </row>
    <row r="30" spans="1:8" x14ac:dyDescent="0.45">
      <c r="A30" s="3">
        <v>29</v>
      </c>
      <c r="B30" s="3" t="s">
        <v>2</v>
      </c>
      <c r="C30" s="4">
        <v>46156</v>
      </c>
      <c r="D30" s="20">
        <v>40.5</v>
      </c>
      <c r="E30" s="21">
        <v>41.75</v>
      </c>
      <c r="F30" s="21">
        <v>39.75</v>
      </c>
      <c r="G30" s="21">
        <v>39.85</v>
      </c>
      <c r="H30" s="19">
        <v>5371100</v>
      </c>
    </row>
    <row r="31" spans="1:8" x14ac:dyDescent="0.45">
      <c r="A31" s="3">
        <v>30</v>
      </c>
      <c r="B31" s="3" t="s">
        <v>2</v>
      </c>
      <c r="C31" s="4">
        <v>46157</v>
      </c>
      <c r="D31" s="20">
        <v>39.4</v>
      </c>
      <c r="E31" s="21">
        <v>42.35</v>
      </c>
      <c r="F31" s="21">
        <v>39.4</v>
      </c>
      <c r="G31" s="21">
        <v>42.2</v>
      </c>
      <c r="H31" s="19">
        <v>9229000</v>
      </c>
    </row>
    <row r="32" spans="1:8" x14ac:dyDescent="0.45">
      <c r="A32" s="3">
        <v>31</v>
      </c>
      <c r="B32" s="3" t="s">
        <v>2</v>
      </c>
      <c r="C32" s="4">
        <v>46160</v>
      </c>
      <c r="D32" s="20">
        <v>42.6</v>
      </c>
      <c r="E32" s="21">
        <v>45.15</v>
      </c>
      <c r="F32" s="21">
        <v>42.5</v>
      </c>
      <c r="G32" s="21">
        <v>45.15</v>
      </c>
      <c r="H32" s="19">
        <v>11418400</v>
      </c>
    </row>
    <row r="33" spans="1:8" x14ac:dyDescent="0.45">
      <c r="A33" s="3">
        <v>32</v>
      </c>
      <c r="B33" s="3" t="s">
        <v>2</v>
      </c>
      <c r="C33" s="4">
        <v>46161</v>
      </c>
      <c r="D33" s="20">
        <v>46</v>
      </c>
      <c r="E33" s="21">
        <v>47</v>
      </c>
      <c r="F33" s="21">
        <v>42</v>
      </c>
      <c r="G33" s="21">
        <v>42</v>
      </c>
      <c r="H33" s="19">
        <v>14765500</v>
      </c>
    </row>
    <row r="34" spans="1:8" x14ac:dyDescent="0.45">
      <c r="A34" s="3">
        <v>33</v>
      </c>
      <c r="B34" s="3" t="s">
        <v>2</v>
      </c>
      <c r="C34" s="4">
        <v>46162</v>
      </c>
      <c r="D34" s="20">
        <v>41.95</v>
      </c>
      <c r="E34" s="21">
        <v>43.9</v>
      </c>
      <c r="F34" s="21">
        <v>39.200000000000003</v>
      </c>
      <c r="G34" s="21">
        <v>43.85</v>
      </c>
      <c r="H34" s="19">
        <v>9839000</v>
      </c>
    </row>
    <row r="35" spans="1:8" x14ac:dyDescent="0.45">
      <c r="A35" s="3">
        <v>34</v>
      </c>
      <c r="B35" s="3" t="s">
        <v>2</v>
      </c>
      <c r="C35" s="4">
        <v>46163</v>
      </c>
      <c r="D35" s="20">
        <v>43.9</v>
      </c>
      <c r="E35" s="21">
        <v>43.9</v>
      </c>
      <c r="F35" s="21">
        <v>42.25</v>
      </c>
      <c r="G35" s="21">
        <v>42.95</v>
      </c>
      <c r="H35" s="19">
        <v>3499000</v>
      </c>
    </row>
    <row r="36" spans="1:8" x14ac:dyDescent="0.45">
      <c r="A36" s="3">
        <v>35</v>
      </c>
      <c r="B36" s="3" t="s">
        <v>2</v>
      </c>
      <c r="C36" s="4">
        <v>46164</v>
      </c>
      <c r="D36" s="20">
        <v>43.35</v>
      </c>
      <c r="E36" s="21">
        <v>43.5</v>
      </c>
      <c r="F36" s="21">
        <v>41.65</v>
      </c>
      <c r="G36" s="21">
        <v>41.95</v>
      </c>
      <c r="H36" s="19">
        <v>4139200</v>
      </c>
    </row>
    <row r="37" spans="1:8" x14ac:dyDescent="0.45">
      <c r="A37" s="3">
        <v>36</v>
      </c>
      <c r="B37" s="3" t="s">
        <v>2</v>
      </c>
      <c r="C37" s="4">
        <v>46167</v>
      </c>
      <c r="D37" s="20">
        <v>41</v>
      </c>
      <c r="E37" s="21">
        <v>41.3</v>
      </c>
      <c r="F37" s="21">
        <v>39.6</v>
      </c>
      <c r="G37" s="21">
        <v>39.700000000000003</v>
      </c>
      <c r="H37" s="19">
        <v>5757500</v>
      </c>
    </row>
    <row r="38" spans="1:8" x14ac:dyDescent="0.45">
      <c r="A38" s="3">
        <v>37</v>
      </c>
      <c r="B38" s="3" t="s">
        <v>2</v>
      </c>
      <c r="C38" s="4">
        <v>46168</v>
      </c>
      <c r="D38" s="20">
        <v>40.1</v>
      </c>
      <c r="E38" s="21">
        <v>40.85</v>
      </c>
      <c r="F38" s="21">
        <v>39.9</v>
      </c>
      <c r="G38" s="21">
        <v>40</v>
      </c>
      <c r="H38" s="19">
        <v>2008600</v>
      </c>
    </row>
    <row r="39" spans="1:8" x14ac:dyDescent="0.45">
      <c r="A39" s="3">
        <v>38</v>
      </c>
      <c r="B39" s="3" t="s">
        <v>2</v>
      </c>
      <c r="C39" s="4">
        <v>46169</v>
      </c>
      <c r="D39" s="20">
        <v>40.1</v>
      </c>
      <c r="E39" s="21">
        <v>40.65</v>
      </c>
      <c r="F39" s="21">
        <v>39.450000000000003</v>
      </c>
      <c r="G39" s="21">
        <v>39.450000000000003</v>
      </c>
      <c r="H39" s="19">
        <v>2735300</v>
      </c>
    </row>
    <row r="40" spans="1:8" x14ac:dyDescent="0.45">
      <c r="A40" s="3">
        <v>39</v>
      </c>
      <c r="B40" s="3" t="s">
        <v>2</v>
      </c>
      <c r="C40" s="4">
        <v>46170</v>
      </c>
      <c r="D40" s="20">
        <v>39.35</v>
      </c>
      <c r="E40" s="21">
        <v>40.5</v>
      </c>
      <c r="F40" s="21">
        <v>38.85</v>
      </c>
      <c r="G40" s="21">
        <v>39.450000000000003</v>
      </c>
      <c r="H40" s="19">
        <v>3792300</v>
      </c>
    </row>
    <row r="41" spans="1:8" x14ac:dyDescent="0.45">
      <c r="A41" s="3">
        <v>40</v>
      </c>
      <c r="B41" s="3" t="s">
        <v>2</v>
      </c>
      <c r="C41" s="4">
        <v>46171</v>
      </c>
      <c r="D41" s="21">
        <v>39.450000000000003</v>
      </c>
      <c r="E41" s="21">
        <v>41.5</v>
      </c>
      <c r="F41" s="21">
        <v>38.85</v>
      </c>
      <c r="G41" s="21">
        <v>41</v>
      </c>
      <c r="H41" s="19">
        <v>4645500</v>
      </c>
    </row>
    <row r="42" spans="1:8" x14ac:dyDescent="0.45">
      <c r="A42" s="3">
        <v>41</v>
      </c>
      <c r="B42" s="3" t="s">
        <v>2</v>
      </c>
      <c r="C42" s="4">
        <v>46174</v>
      </c>
      <c r="D42" s="21">
        <v>41</v>
      </c>
      <c r="E42" s="21">
        <v>41.5</v>
      </c>
      <c r="F42" s="21">
        <v>39.75</v>
      </c>
      <c r="G42" s="21">
        <v>39.75</v>
      </c>
      <c r="H42" s="19">
        <v>2159000</v>
      </c>
    </row>
    <row r="43" spans="1:8" x14ac:dyDescent="0.45">
      <c r="A43" s="3">
        <v>42</v>
      </c>
      <c r="B43" s="3" t="s">
        <v>2</v>
      </c>
      <c r="C43" s="4">
        <v>46175</v>
      </c>
      <c r="D43" s="21">
        <v>40.15</v>
      </c>
      <c r="E43" s="21">
        <v>40.4</v>
      </c>
      <c r="F43" s="21">
        <v>38.85</v>
      </c>
      <c r="G43" s="21">
        <v>38.85</v>
      </c>
      <c r="H43" s="19">
        <v>3073400</v>
      </c>
    </row>
    <row r="44" spans="1:8" x14ac:dyDescent="0.45">
      <c r="A44" s="3">
        <v>43</v>
      </c>
      <c r="B44" s="3" t="s">
        <v>2</v>
      </c>
      <c r="C44" s="4">
        <v>46176</v>
      </c>
      <c r="D44" s="21">
        <v>38.85</v>
      </c>
      <c r="E44" s="21">
        <v>39.85</v>
      </c>
      <c r="F44" s="21">
        <v>38.85</v>
      </c>
      <c r="G44" s="21">
        <v>39.15</v>
      </c>
      <c r="H44" s="19">
        <v>1384800</v>
      </c>
    </row>
    <row r="45" spans="1:8" x14ac:dyDescent="0.45">
      <c r="A45" s="3">
        <v>44</v>
      </c>
      <c r="B45" s="3" t="s">
        <v>2</v>
      </c>
      <c r="C45" s="4">
        <v>46177</v>
      </c>
      <c r="D45" s="21">
        <v>40.450000000000003</v>
      </c>
      <c r="E45" s="21">
        <v>41.85</v>
      </c>
      <c r="F45" s="21">
        <v>40.35</v>
      </c>
      <c r="G45" s="21">
        <v>41.85</v>
      </c>
      <c r="H45" s="19">
        <v>6418000</v>
      </c>
    </row>
    <row r="46" spans="1:8" x14ac:dyDescent="0.45">
      <c r="A46" s="3">
        <v>45</v>
      </c>
      <c r="B46" s="3" t="s">
        <v>2</v>
      </c>
      <c r="C46" s="4">
        <v>46178</v>
      </c>
      <c r="D46" s="21">
        <v>42.3</v>
      </c>
      <c r="E46" s="21">
        <v>44</v>
      </c>
      <c r="F46" s="21">
        <v>41.15</v>
      </c>
      <c r="G46" s="21">
        <v>42</v>
      </c>
      <c r="H46" s="19">
        <v>5041000</v>
      </c>
    </row>
    <row r="47" spans="1:8" x14ac:dyDescent="0.45">
      <c r="A47" s="3">
        <v>46</v>
      </c>
      <c r="B47" s="3" t="s">
        <v>2</v>
      </c>
      <c r="C47" s="4">
        <v>46181</v>
      </c>
      <c r="D47" s="21">
        <v>41.6</v>
      </c>
      <c r="E47" s="21">
        <v>42.8</v>
      </c>
      <c r="F47" s="21">
        <v>41.5</v>
      </c>
      <c r="G47" s="21">
        <v>41.7</v>
      </c>
      <c r="H47" s="19">
        <v>3844100</v>
      </c>
    </row>
    <row r="48" spans="1:8" x14ac:dyDescent="0.45">
      <c r="A48" s="3">
        <v>47</v>
      </c>
      <c r="B48" s="3" t="s">
        <v>2</v>
      </c>
      <c r="C48" s="4">
        <v>46182</v>
      </c>
      <c r="D48" s="21">
        <v>41.8</v>
      </c>
      <c r="E48" s="21">
        <v>41.8</v>
      </c>
      <c r="F48" s="21">
        <v>40.200000000000003</v>
      </c>
      <c r="G48" s="21">
        <v>40.5</v>
      </c>
      <c r="H48" s="19">
        <v>2504400</v>
      </c>
    </row>
    <row r="49" spans="1:11" x14ac:dyDescent="0.45">
      <c r="A49" s="3">
        <v>48</v>
      </c>
      <c r="B49" s="3" t="s">
        <v>2</v>
      </c>
      <c r="C49" s="4">
        <v>46183</v>
      </c>
      <c r="D49" s="21">
        <v>40.9</v>
      </c>
      <c r="E49" s="21">
        <v>40.950000000000003</v>
      </c>
      <c r="F49" s="21">
        <v>39.85</v>
      </c>
      <c r="G49" s="21">
        <v>40.049999999999997</v>
      </c>
      <c r="H49" s="19">
        <v>2594400</v>
      </c>
    </row>
    <row r="50" spans="1:11" x14ac:dyDescent="0.45">
      <c r="A50" s="3">
        <v>49</v>
      </c>
      <c r="B50" s="3" t="s">
        <v>2</v>
      </c>
      <c r="C50" s="4">
        <v>46184</v>
      </c>
      <c r="D50" s="21">
        <v>40.6</v>
      </c>
      <c r="E50" s="21">
        <v>40.950000000000003</v>
      </c>
      <c r="F50" s="21">
        <v>39.85</v>
      </c>
      <c r="G50" s="21">
        <v>39.85</v>
      </c>
      <c r="H50" s="19">
        <v>1687000</v>
      </c>
    </row>
    <row r="51" spans="1:11" x14ac:dyDescent="0.45">
      <c r="A51" s="3">
        <v>50</v>
      </c>
      <c r="B51" s="3" t="s">
        <v>2</v>
      </c>
      <c r="C51" s="4">
        <v>46185</v>
      </c>
      <c r="D51" s="21">
        <v>39.85</v>
      </c>
      <c r="E51" s="21">
        <v>41</v>
      </c>
      <c r="F51" s="21">
        <v>39.65</v>
      </c>
      <c r="G51" s="21">
        <v>40.049999999999997</v>
      </c>
      <c r="H51" s="19">
        <v>2261400</v>
      </c>
    </row>
    <row r="52" spans="1:11" x14ac:dyDescent="0.45">
      <c r="A52" s="3">
        <v>51</v>
      </c>
      <c r="B52" s="3" t="s">
        <v>2</v>
      </c>
      <c r="C52" s="4">
        <v>46188</v>
      </c>
      <c r="D52" s="21">
        <v>39.4</v>
      </c>
      <c r="E52" s="21">
        <v>39.450000000000003</v>
      </c>
      <c r="F52" s="21">
        <v>38.4</v>
      </c>
      <c r="G52" s="21">
        <v>38.5</v>
      </c>
      <c r="H52" s="19">
        <v>4536400</v>
      </c>
    </row>
    <row r="53" spans="1:11" x14ac:dyDescent="0.45">
      <c r="A53" s="3">
        <v>52</v>
      </c>
      <c r="B53" s="3" t="s">
        <v>2</v>
      </c>
      <c r="C53" s="4">
        <v>46189</v>
      </c>
      <c r="D53" s="21">
        <v>38.75</v>
      </c>
      <c r="E53" s="21">
        <v>39</v>
      </c>
      <c r="F53" s="21">
        <v>38.299999999999997</v>
      </c>
      <c r="G53" s="21">
        <v>38.6</v>
      </c>
      <c r="H53" s="19">
        <v>1880400</v>
      </c>
    </row>
    <row r="54" spans="1:11" x14ac:dyDescent="0.45">
      <c r="A54" s="3">
        <v>53</v>
      </c>
      <c r="B54" s="3" t="s">
        <v>2</v>
      </c>
      <c r="C54" s="4">
        <v>46190</v>
      </c>
      <c r="D54" s="21">
        <v>38.6</v>
      </c>
      <c r="E54" s="21">
        <v>39.4</v>
      </c>
      <c r="F54" s="21">
        <v>38.25</v>
      </c>
      <c r="G54" s="21">
        <v>38.65</v>
      </c>
      <c r="H54" s="19">
        <v>1724200</v>
      </c>
    </row>
    <row r="55" spans="1:11" x14ac:dyDescent="0.45">
      <c r="A55" s="3">
        <v>54</v>
      </c>
      <c r="B55" s="3" t="s">
        <v>2</v>
      </c>
      <c r="C55" s="4">
        <v>46191</v>
      </c>
      <c r="D55" s="21">
        <v>38.700000000000003</v>
      </c>
      <c r="E55" s="21">
        <v>39.25</v>
      </c>
      <c r="F55" s="21">
        <v>38.6</v>
      </c>
      <c r="G55" s="21">
        <v>39</v>
      </c>
      <c r="H55" s="19">
        <v>1549000</v>
      </c>
    </row>
    <row r="56" spans="1:11" ht="15" customHeight="1" x14ac:dyDescent="0.45">
      <c r="A56" s="3">
        <v>55</v>
      </c>
      <c r="B56" s="3" t="s">
        <v>2</v>
      </c>
      <c r="C56" s="4">
        <v>46192</v>
      </c>
      <c r="D56" s="21">
        <v>39.1</v>
      </c>
      <c r="E56" s="21">
        <v>39.15</v>
      </c>
      <c r="F56" s="21">
        <v>38.6</v>
      </c>
      <c r="G56" s="21">
        <v>38.65</v>
      </c>
      <c r="H56" s="19">
        <v>1532600</v>
      </c>
    </row>
    <row r="57" spans="1:11" x14ac:dyDescent="0.45">
      <c r="A57" s="3">
        <v>56</v>
      </c>
      <c r="B57" s="3" t="s">
        <v>2</v>
      </c>
      <c r="C57" s="4">
        <v>46195</v>
      </c>
      <c r="D57" s="21">
        <v>38.799999999999997</v>
      </c>
      <c r="E57" s="21">
        <v>39.299999999999997</v>
      </c>
      <c r="F57" s="21">
        <v>38.65</v>
      </c>
      <c r="G57" s="21">
        <v>38.65</v>
      </c>
      <c r="H57" s="19">
        <v>1872100</v>
      </c>
    </row>
    <row r="58" spans="1:11" x14ac:dyDescent="0.45">
      <c r="A58" s="3">
        <v>57</v>
      </c>
      <c r="B58" s="3" t="s">
        <v>2</v>
      </c>
      <c r="C58" s="4">
        <v>46196</v>
      </c>
      <c r="D58" s="21">
        <v>38.9</v>
      </c>
      <c r="E58" s="21">
        <v>38.9</v>
      </c>
      <c r="F58" s="21">
        <v>37.450000000000003</v>
      </c>
      <c r="G58" s="21">
        <v>37.700000000000003</v>
      </c>
      <c r="H58" s="19">
        <v>4318200</v>
      </c>
      <c r="K58" s="5"/>
    </row>
    <row r="59" spans="1:11" x14ac:dyDescent="0.45">
      <c r="A59" s="3">
        <v>58</v>
      </c>
      <c r="B59" s="3" t="s">
        <v>2</v>
      </c>
      <c r="C59" s="4">
        <v>46197</v>
      </c>
      <c r="D59" s="21">
        <v>37.75</v>
      </c>
      <c r="E59" s="21">
        <v>38.200000000000003</v>
      </c>
      <c r="F59" s="21">
        <v>36.85</v>
      </c>
      <c r="G59" s="21">
        <v>37.799999999999997</v>
      </c>
      <c r="H59" s="19">
        <v>1914700</v>
      </c>
    </row>
    <row r="60" spans="1:11" x14ac:dyDescent="0.45">
      <c r="A60" s="3">
        <v>59</v>
      </c>
      <c r="B60" s="3" t="s">
        <v>2</v>
      </c>
      <c r="C60" s="4">
        <v>46198</v>
      </c>
      <c r="D60" s="21">
        <v>37.75</v>
      </c>
      <c r="E60" s="21">
        <v>37.799999999999997</v>
      </c>
      <c r="F60" s="21">
        <v>37</v>
      </c>
      <c r="G60" s="21">
        <v>37.25</v>
      </c>
      <c r="H60" s="19">
        <v>907100</v>
      </c>
    </row>
    <row r="61" spans="1:11" x14ac:dyDescent="0.45">
      <c r="A61" s="3">
        <v>60</v>
      </c>
      <c r="B61" s="3" t="s">
        <v>2</v>
      </c>
      <c r="C61" s="4">
        <v>46199</v>
      </c>
      <c r="D61" s="21">
        <v>37.4</v>
      </c>
      <c r="E61" s="21">
        <v>37.549999999999997</v>
      </c>
      <c r="F61" s="21">
        <v>36.799999999999997</v>
      </c>
      <c r="G61" s="21">
        <v>36.799999999999997</v>
      </c>
      <c r="H61" s="19">
        <v>1716200</v>
      </c>
    </row>
    <row r="62" spans="1:11" x14ac:dyDescent="0.45">
      <c r="A62" s="3">
        <v>61</v>
      </c>
      <c r="B62" s="3" t="s">
        <v>2</v>
      </c>
      <c r="C62" s="4">
        <v>46202</v>
      </c>
      <c r="D62" s="21">
        <v>36.9</v>
      </c>
      <c r="E62" s="21">
        <v>37.75</v>
      </c>
      <c r="F62" s="21">
        <v>36.85</v>
      </c>
      <c r="G62" s="21">
        <v>37.25</v>
      </c>
      <c r="H62" s="19">
        <v>1256200</v>
      </c>
      <c r="I62" s="5"/>
    </row>
    <row r="63" spans="1:11" x14ac:dyDescent="0.45">
      <c r="A63" s="3">
        <v>62</v>
      </c>
      <c r="B63" s="3" t="s">
        <v>2</v>
      </c>
      <c r="C63" s="4">
        <v>46203</v>
      </c>
      <c r="D63" s="21">
        <v>37.299999999999997</v>
      </c>
      <c r="E63" s="21">
        <v>37.6</v>
      </c>
      <c r="F63" s="21">
        <v>36.9</v>
      </c>
      <c r="G63" s="21">
        <v>36.950000000000003</v>
      </c>
      <c r="H63" s="19">
        <v>1153800</v>
      </c>
    </row>
    <row r="64" spans="1:11" x14ac:dyDescent="0.45">
      <c r="A64" s="3">
        <v>63</v>
      </c>
      <c r="B64" s="3" t="s">
        <v>2</v>
      </c>
      <c r="C64" s="4">
        <v>46204</v>
      </c>
      <c r="D64" s="21">
        <v>36.950000000000003</v>
      </c>
      <c r="E64" s="21">
        <v>38.5</v>
      </c>
      <c r="F64" s="21">
        <v>36.950000000000003</v>
      </c>
      <c r="G64" s="21">
        <v>37.450000000000003</v>
      </c>
      <c r="H64" s="19">
        <v>1561500</v>
      </c>
    </row>
    <row r="65" spans="1:8" x14ac:dyDescent="0.45">
      <c r="A65" s="3">
        <v>64</v>
      </c>
      <c r="B65" s="3" t="s">
        <v>2</v>
      </c>
      <c r="C65" s="4">
        <v>46205</v>
      </c>
      <c r="D65" s="21">
        <v>37.450000000000003</v>
      </c>
      <c r="E65" s="21">
        <v>37.450000000000003</v>
      </c>
      <c r="F65" s="21">
        <v>37.1</v>
      </c>
      <c r="G65" s="21">
        <v>37.200000000000003</v>
      </c>
      <c r="H65" s="19">
        <v>803400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0708-BF56-4452-AE72-2F555F429795}">
  <dimension ref="A1:E36"/>
  <sheetViews>
    <sheetView tabSelected="1" topLeftCell="A21" zoomScaleNormal="100" workbookViewId="0">
      <selection activeCell="D38" sqref="D38"/>
    </sheetView>
  </sheetViews>
  <sheetFormatPr defaultColWidth="8.86328125" defaultRowHeight="16.5" x14ac:dyDescent="0.45"/>
  <cols>
    <col min="1" max="2" width="8.86328125" style="13"/>
    <col min="3" max="3" width="15.53125" style="13" customWidth="1"/>
    <col min="4" max="4" width="47.53125" style="13" bestFit="1" customWidth="1"/>
    <col min="5" max="5" width="9.1328125" style="13" bestFit="1" customWidth="1"/>
    <col min="6" max="16384" width="8.86328125" style="13"/>
  </cols>
  <sheetData>
    <row r="1" spans="1:5" ht="22.05" customHeight="1" x14ac:dyDescent="0.45">
      <c r="A1" s="10" t="s">
        <v>3</v>
      </c>
      <c r="B1" s="10" t="s">
        <v>0</v>
      </c>
      <c r="C1" s="10" t="s">
        <v>1</v>
      </c>
      <c r="D1" s="10" t="s">
        <v>4</v>
      </c>
      <c r="E1" s="12"/>
    </row>
    <row r="2" spans="1:5" x14ac:dyDescent="0.45">
      <c r="A2" s="11">
        <v>1</v>
      </c>
      <c r="B2" s="14" t="s">
        <v>2</v>
      </c>
      <c r="C2" s="15">
        <v>46157</v>
      </c>
      <c r="D2" s="16">
        <f>AVERAGE('Lịch sử giá'!G2:G31)</f>
        <v>39.326666666666668</v>
      </c>
    </row>
    <row r="3" spans="1:5" x14ac:dyDescent="0.45">
      <c r="A3" s="14">
        <v>2</v>
      </c>
      <c r="B3" s="14" t="s">
        <v>2</v>
      </c>
      <c r="C3" s="15">
        <v>46160</v>
      </c>
      <c r="D3" s="16">
        <f>AVERAGE('Lịch sử giá'!G3:G32)</f>
        <v>39.475000000000001</v>
      </c>
    </row>
    <row r="4" spans="1:5" x14ac:dyDescent="0.45">
      <c r="A4" s="11">
        <v>3</v>
      </c>
      <c r="B4" s="14" t="s">
        <v>2</v>
      </c>
      <c r="C4" s="15">
        <v>46161</v>
      </c>
      <c r="D4" s="16">
        <f>AVERAGE('Lịch sử giá'!G4:G33)</f>
        <v>39.528333333333336</v>
      </c>
    </row>
    <row r="5" spans="1:5" x14ac:dyDescent="0.45">
      <c r="A5" s="14">
        <v>4</v>
      </c>
      <c r="B5" s="14" t="s">
        <v>2</v>
      </c>
      <c r="C5" s="15">
        <v>46162</v>
      </c>
      <c r="D5" s="16">
        <f>AVERAGE('Lịch sử giá'!G5:G34)</f>
        <v>39.650000000000006</v>
      </c>
    </row>
    <row r="6" spans="1:5" x14ac:dyDescent="0.45">
      <c r="A6" s="11">
        <v>5</v>
      </c>
      <c r="B6" s="14" t="s">
        <v>2</v>
      </c>
      <c r="C6" s="15">
        <v>46163</v>
      </c>
      <c r="D6" s="16">
        <f>AVERAGE('Lịch sử giá'!G6:G35)</f>
        <v>39.785000000000004</v>
      </c>
    </row>
    <row r="7" spans="1:5" x14ac:dyDescent="0.45">
      <c r="A7" s="14">
        <v>6</v>
      </c>
      <c r="B7" s="14" t="s">
        <v>2</v>
      </c>
      <c r="C7" s="15">
        <v>46164</v>
      </c>
      <c r="D7" s="16">
        <f>AVERAGE('Lịch sử giá'!G7:G36)</f>
        <v>39.896666666666675</v>
      </c>
    </row>
    <row r="8" spans="1:5" x14ac:dyDescent="0.45">
      <c r="A8" s="11">
        <v>7</v>
      </c>
      <c r="B8" s="14" t="s">
        <v>2</v>
      </c>
      <c r="C8" s="15">
        <v>46167</v>
      </c>
      <c r="D8" s="16">
        <f>AVERAGE('Lịch sử giá'!G8:G37)</f>
        <v>39.870000000000005</v>
      </c>
    </row>
    <row r="9" spans="1:5" x14ac:dyDescent="0.45">
      <c r="A9" s="11">
        <v>8</v>
      </c>
      <c r="B9" s="14" t="s">
        <v>2</v>
      </c>
      <c r="C9" s="15">
        <v>46168</v>
      </c>
      <c r="D9" s="16">
        <f>AVERAGE('Lịch sử giá'!G9:G38)</f>
        <v>39.88666666666667</v>
      </c>
    </row>
    <row r="10" spans="1:5" x14ac:dyDescent="0.45">
      <c r="A10" s="11">
        <v>9</v>
      </c>
      <c r="B10" s="14" t="s">
        <v>2</v>
      </c>
      <c r="C10" s="15">
        <v>46169</v>
      </c>
      <c r="D10" s="16">
        <f>AVERAGE('Lịch sử giá'!G10:G39)</f>
        <v>39.830000000000005</v>
      </c>
    </row>
    <row r="11" spans="1:5" x14ac:dyDescent="0.45">
      <c r="A11" s="11">
        <v>10</v>
      </c>
      <c r="B11" s="14" t="s">
        <v>2</v>
      </c>
      <c r="C11" s="15">
        <v>46170</v>
      </c>
      <c r="D11" s="16">
        <f>AVERAGE('Lịch sử giá'!G11:G40)</f>
        <v>39.788333333333334</v>
      </c>
    </row>
    <row r="12" spans="1:5" x14ac:dyDescent="0.45">
      <c r="A12" s="11">
        <v>11</v>
      </c>
      <c r="B12" s="14" t="s">
        <v>2</v>
      </c>
      <c r="C12" s="15">
        <v>46171</v>
      </c>
      <c r="D12" s="16">
        <f>AVERAGE('Lịch sử giá'!G12:G41)</f>
        <v>39.816666666666677</v>
      </c>
    </row>
    <row r="13" spans="1:5" x14ac:dyDescent="0.45">
      <c r="A13" s="11">
        <v>12</v>
      </c>
      <c r="B13" s="14" t="s">
        <v>2</v>
      </c>
      <c r="C13" s="15">
        <v>46174</v>
      </c>
      <c r="D13" s="16">
        <f>AVERAGE('Lịch sử giá'!G13:G42)</f>
        <v>39.815000000000012</v>
      </c>
    </row>
    <row r="14" spans="1:5" x14ac:dyDescent="0.45">
      <c r="A14" s="11">
        <v>13</v>
      </c>
      <c r="B14" s="14" t="s">
        <v>2</v>
      </c>
      <c r="C14" s="15">
        <v>46175</v>
      </c>
      <c r="D14" s="16">
        <f>AVERAGE('Lịch sử giá'!G14:G43)</f>
        <v>39.806666666666665</v>
      </c>
    </row>
    <row r="15" spans="1:5" x14ac:dyDescent="0.45">
      <c r="A15" s="11">
        <v>14</v>
      </c>
      <c r="B15" s="14" t="s">
        <v>2</v>
      </c>
      <c r="C15" s="15">
        <v>46176</v>
      </c>
      <c r="D15" s="16">
        <f>AVERAGE('Lịch sử giá'!G15:G44)</f>
        <v>39.780000000000008</v>
      </c>
    </row>
    <row r="16" spans="1:5" x14ac:dyDescent="0.45">
      <c r="A16" s="11">
        <v>15</v>
      </c>
      <c r="B16" s="14" t="s">
        <v>2</v>
      </c>
      <c r="C16" s="15">
        <v>46177</v>
      </c>
      <c r="D16" s="16">
        <f>AVERAGE('Lịch sử giá'!G16:G45)</f>
        <v>39.860000000000007</v>
      </c>
    </row>
    <row r="17" spans="1:4" x14ac:dyDescent="0.45">
      <c r="A17" s="11">
        <v>16</v>
      </c>
      <c r="B17" s="14" t="s">
        <v>2</v>
      </c>
      <c r="C17" s="15">
        <v>46178</v>
      </c>
      <c r="D17" s="16">
        <f>AVERAGE('Lịch sử giá'!G17:G46)</f>
        <v>39.948333333333345</v>
      </c>
    </row>
    <row r="18" spans="1:4" x14ac:dyDescent="0.45">
      <c r="A18" s="11">
        <v>17</v>
      </c>
      <c r="B18" s="14" t="s">
        <v>2</v>
      </c>
      <c r="C18" s="15">
        <v>46181</v>
      </c>
      <c r="D18" s="16">
        <f>AVERAGE('Lịch sử giá'!G18:G47)</f>
        <v>40.038333333333341</v>
      </c>
    </row>
    <row r="19" spans="1:4" x14ac:dyDescent="0.45">
      <c r="A19" s="11">
        <v>18</v>
      </c>
      <c r="B19" s="14" t="s">
        <v>2</v>
      </c>
      <c r="C19" s="15">
        <v>46182</v>
      </c>
      <c r="D19" s="16">
        <f>AVERAGE('Lịch sử giá'!G19:G48)</f>
        <v>40.078333333333347</v>
      </c>
    </row>
    <row r="20" spans="1:4" x14ac:dyDescent="0.45">
      <c r="A20" s="11">
        <v>19</v>
      </c>
      <c r="B20" s="14" t="s">
        <v>2</v>
      </c>
      <c r="C20" s="15">
        <v>46183</v>
      </c>
      <c r="D20" s="16">
        <f>AVERAGE('Lịch sử giá'!G20:G49)</f>
        <v>40.090000000000011</v>
      </c>
    </row>
    <row r="21" spans="1:4" x14ac:dyDescent="0.45">
      <c r="A21" s="11">
        <v>20</v>
      </c>
      <c r="B21" s="14" t="s">
        <v>2</v>
      </c>
      <c r="C21" s="15">
        <v>46184</v>
      </c>
      <c r="D21" s="16">
        <f>AVERAGE('Lịch sử giá'!G21:G50)</f>
        <v>40.186666666666675</v>
      </c>
    </row>
    <row r="22" spans="1:4" x14ac:dyDescent="0.45">
      <c r="A22" s="11">
        <v>21</v>
      </c>
      <c r="B22" s="14" t="s">
        <v>2</v>
      </c>
      <c r="C22" s="15">
        <v>46185</v>
      </c>
      <c r="D22" s="16">
        <f>AVERAGE('Lịch sử giá'!G22:G51)</f>
        <v>40.283333333333331</v>
      </c>
    </row>
    <row r="23" spans="1:4" x14ac:dyDescent="0.45">
      <c r="A23" s="11">
        <v>22</v>
      </c>
      <c r="B23" s="14" t="s">
        <v>2</v>
      </c>
      <c r="C23" s="15">
        <v>46188</v>
      </c>
      <c r="D23" s="16">
        <f>AVERAGE('Lịch sử giá'!G23:G52)</f>
        <v>40.276666666666671</v>
      </c>
    </row>
    <row r="24" spans="1:4" x14ac:dyDescent="0.45">
      <c r="A24" s="11">
        <v>23</v>
      </c>
      <c r="B24" s="14" t="s">
        <v>2</v>
      </c>
      <c r="C24" s="15">
        <v>46189</v>
      </c>
      <c r="D24" s="16">
        <f>AVERAGE('Lịch sử giá'!G24:G53)</f>
        <v>40.255000000000003</v>
      </c>
    </row>
    <row r="25" spans="1:4" x14ac:dyDescent="0.45">
      <c r="A25" s="11">
        <v>24</v>
      </c>
      <c r="B25" s="14" t="s">
        <v>2</v>
      </c>
      <c r="C25" s="15">
        <v>46190</v>
      </c>
      <c r="D25" s="16">
        <f>AVERAGE('Lịch sử giá'!G25:G54)</f>
        <v>40.243333333333332</v>
      </c>
    </row>
    <row r="26" spans="1:4" x14ac:dyDescent="0.45">
      <c r="A26" s="11">
        <v>25</v>
      </c>
      <c r="B26" s="14" t="s">
        <v>2</v>
      </c>
      <c r="C26" s="15">
        <v>46191</v>
      </c>
      <c r="D26" s="16">
        <f>AVERAGE('Lịch sử giá'!G26:G55)</f>
        <v>40.286666666666669</v>
      </c>
    </row>
    <row r="27" spans="1:4" x14ac:dyDescent="0.45">
      <c r="A27" s="11">
        <v>26</v>
      </c>
      <c r="B27" s="14" t="s">
        <v>2</v>
      </c>
      <c r="C27" s="15">
        <v>46192</v>
      </c>
      <c r="D27" s="16">
        <f>AVERAGE('Lịch sử giá'!G27:G56)</f>
        <v>40.321666666666673</v>
      </c>
    </row>
    <row r="28" spans="1:4" x14ac:dyDescent="0.45">
      <c r="A28" s="11">
        <v>27</v>
      </c>
      <c r="B28" s="14" t="s">
        <v>2</v>
      </c>
      <c r="C28" s="15">
        <v>46195</v>
      </c>
      <c r="D28" s="16">
        <f>AVERAGE('Lịch sử giá'!G28:G57)</f>
        <v>40.38333333333334</v>
      </c>
    </row>
    <row r="29" spans="1:4" x14ac:dyDescent="0.45">
      <c r="A29" s="11">
        <v>28</v>
      </c>
      <c r="B29" s="14" t="s">
        <v>2</v>
      </c>
      <c r="C29" s="15">
        <v>46196</v>
      </c>
      <c r="D29" s="16">
        <f>AVERAGE('Lịch sử giá'!G29:G58)</f>
        <v>40.38000000000001</v>
      </c>
    </row>
    <row r="30" spans="1:4" x14ac:dyDescent="0.45">
      <c r="A30" s="11">
        <v>29</v>
      </c>
      <c r="B30" s="14" t="s">
        <v>2</v>
      </c>
      <c r="C30" s="15">
        <v>46197</v>
      </c>
      <c r="D30" s="16">
        <f>AVERAGE('Lịch sử giá'!G30:G59)</f>
        <v>40.295000000000002</v>
      </c>
    </row>
    <row r="31" spans="1:4" x14ac:dyDescent="0.45">
      <c r="A31" s="11">
        <v>30</v>
      </c>
      <c r="B31" s="14" t="s">
        <v>2</v>
      </c>
      <c r="C31" s="15">
        <v>46198</v>
      </c>
      <c r="D31" s="16">
        <f>AVERAGE('Lịch sử giá'!G31:G60)</f>
        <v>40.208333333333336</v>
      </c>
    </row>
    <row r="32" spans="1:4" x14ac:dyDescent="0.45">
      <c r="A32" s="11">
        <v>31</v>
      </c>
      <c r="B32" s="14" t="s">
        <v>2</v>
      </c>
      <c r="C32" s="15">
        <v>46199</v>
      </c>
      <c r="D32" s="16">
        <f>AVERAGE('Lịch sử giá'!G32:G61)</f>
        <v>40.028333333333329</v>
      </c>
    </row>
    <row r="33" spans="1:4" x14ac:dyDescent="0.45">
      <c r="A33" s="11">
        <v>32</v>
      </c>
      <c r="B33" s="14" t="s">
        <v>2</v>
      </c>
      <c r="C33" s="15">
        <v>46202</v>
      </c>
      <c r="D33" s="16">
        <f>AVERAGE('Lịch sử giá'!G33:G62)</f>
        <v>39.764999999999993</v>
      </c>
    </row>
    <row r="34" spans="1:4" x14ac:dyDescent="0.45">
      <c r="A34" s="11">
        <v>33</v>
      </c>
      <c r="B34" s="14" t="s">
        <v>2</v>
      </c>
      <c r="C34" s="15">
        <v>46203</v>
      </c>
      <c r="D34" s="16">
        <f>AVERAGE('Lịch sử giá'!G34:G63)</f>
        <v>39.596666666666671</v>
      </c>
    </row>
    <row r="35" spans="1:4" x14ac:dyDescent="0.45">
      <c r="A35" s="11">
        <v>34</v>
      </c>
      <c r="B35" s="14" t="s">
        <v>2</v>
      </c>
      <c r="C35" s="15">
        <v>46204</v>
      </c>
      <c r="D35" s="16">
        <f>AVERAGE('Lịch sử giá'!G35:G64)</f>
        <v>39.383333333333333</v>
      </c>
    </row>
    <row r="36" spans="1:4" x14ac:dyDescent="0.45">
      <c r="A36" s="11">
        <v>35</v>
      </c>
      <c r="B36" s="14" t="s">
        <v>2</v>
      </c>
      <c r="C36" s="15">
        <v>46205</v>
      </c>
      <c r="D36" s="16">
        <f>AVERAGE('Lịch sử giá'!G36:G65)</f>
        <v>39.19166666666667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Lịch sử giá</vt:lpstr>
      <vt:lpstr>Giá trung bình (30 ngày)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Hiep, Nguyen Minh (PETROLIMEX)</cp:lastModifiedBy>
  <dcterms:modified xsi:type="dcterms:W3CDTF">2026-07-02T11:14:15Z</dcterms:modified>
</cp:coreProperties>
</file>