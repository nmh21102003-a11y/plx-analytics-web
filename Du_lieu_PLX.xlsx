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"/>
    </mc:Choice>
  </mc:AlternateContent>
  <xr:revisionPtr revIDLastSave="174" documentId="13_ncr:1_{FBBB51D9-8AD3-4C6B-A21A-B98EDB197521}" xr6:coauthVersionLast="47" xr6:coauthVersionMax="47" xr10:uidLastSave="{DDCDE45A-CF8D-4F3B-8222-FABCD4DD42CE}"/>
  <bookViews>
    <workbookView xWindow="-108" yWindow="-108" windowWidth="23256" windowHeight="12456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giá'!$B$1:$D$60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F67" i="1"/>
  <c r="E67" i="1"/>
  <c r="D9" i="2"/>
  <c r="E66" i="1"/>
  <c r="F66" i="1" s="1"/>
  <c r="D8" i="2"/>
  <c r="E65" i="1"/>
  <c r="F65" i="1" s="1"/>
  <c r="D7" i="2"/>
  <c r="E64" i="1"/>
  <c r="F64" i="1" s="1"/>
  <c r="D6" i="2"/>
  <c r="E63" i="1"/>
  <c r="F63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D2" i="2"/>
  <c r="E31" i="1"/>
  <c r="E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" i="1"/>
  <c r="D5" i="2"/>
  <c r="E62" i="1"/>
  <c r="D3" i="2"/>
  <c r="D4" i="2"/>
  <c r="E61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32" i="1"/>
</calcChain>
</file>

<file path=xl/sharedStrings.xml><?xml version="1.0" encoding="utf-8"?>
<sst xmlns="http://schemas.openxmlformats.org/spreadsheetml/2006/main" count="85" uniqueCount="8">
  <si>
    <t>Mã</t>
  </si>
  <si>
    <t>Ngày</t>
  </si>
  <si>
    <t>Giá đóng cửa</t>
  </si>
  <si>
    <t>Thay đổi</t>
  </si>
  <si>
    <t>PLX</t>
  </si>
  <si>
    <t>STT</t>
  </si>
  <si>
    <t>Giá trung bình (30 ngày giao dịch gần nhất)</t>
  </si>
  <si>
    <t>% Thay đổi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</si>
</sst>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0;\-0.00;0.00"/>
    <numFmt numFmtId="165" formatCode="\+0.00%;\-0.00%;0.00%\ "/>
  </numFmts>
  <fonts count="6" x14ac:knownFonts="1">
    <font>
      <sz val="11"/>
      <name val="Calibri"/>
    </font>
    <font>
      <sz val="11"/>
      <name val="Calibri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2" fontId="3" fillId="0" borderId="0" xfId="0" applyNumberFormat="1" applyFont="1"/>
    <xf numFmtId="164" fontId="3" fillId="0" borderId="0" xfId="0" applyNumberFormat="1" applyFont="1"/>
    <xf numFmtId="164" fontId="3" fillId="0" borderId="1" xfId="0" applyNumberFormat="1" applyFont="1" applyBorder="1"/>
    <xf numFmtId="2" fontId="3" fillId="0" borderId="1" xfId="0" applyNumberFormat="1" applyFont="1" applyBorder="1" applyAlignment="1">
      <alignment horizontal="right"/>
    </xf>
    <xf numFmtId="14" fontId="3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right" vertical="center"/>
    </xf>
    <xf numFmtId="164" fontId="3" fillId="4" borderId="1" xfId="0" applyNumberFormat="1" applyFont="1" applyFill="1" applyBorder="1"/>
    <xf numFmtId="14" fontId="3" fillId="4" borderId="1" xfId="0" applyNumberFormat="1" applyFont="1" applyFill="1" applyBorder="1" applyAlignment="1">
      <alignment horizontal="center"/>
    </xf>
    <xf numFmtId="2" fontId="3" fillId="4" borderId="1" xfId="0" applyNumberFormat="1" applyFont="1" applyFill="1" applyBorder="1" applyAlignment="1">
      <alignment horizontal="right"/>
    </xf>
    <xf numFmtId="0" fontId="5" fillId="4" borderId="1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5" fillId="4" borderId="1" xfId="0" applyFont="1" applyFill="1" applyBorder="1" applyAlignment="1">
      <alignment horizontal="center"/>
    </xf>
    <xf numFmtId="14" fontId="5" fillId="4" borderId="1" xfId="0" applyNumberFormat="1" applyFont="1" applyFill="1" applyBorder="1" applyAlignment="1">
      <alignment horizontal="center"/>
    </xf>
    <xf numFmtId="2" fontId="5" fillId="4" borderId="1" xfId="0" applyNumberFormat="1" applyFont="1" applyFill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2" fontId="5" fillId="0" borderId="1" xfId="0" applyNumberFormat="1" applyFont="1" applyBorder="1"/>
    <xf numFmtId="165" fontId="2" fillId="2" borderId="1" xfId="0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right"/>
    </xf>
    <xf numFmtId="165" fontId="3" fillId="4" borderId="1" xfId="1" applyNumberFormat="1" applyFont="1" applyFill="1" applyBorder="1"/>
    <xf numFmtId="165" fontId="3" fillId="4" borderId="1" xfId="0" applyNumberFormat="1" applyFont="1" applyFill="1" applyBorder="1"/>
    <xf numFmtId="165" fontId="3" fillId="0" borderId="1" xfId="1" applyNumberFormat="1" applyFont="1" applyBorder="1"/>
    <xf numFmtId="165" fontId="3" fillId="0" borderId="0" xfId="0" applyNumberFormat="1" applyFont="1"/>
  </cellXfs>
  <cellStyles count="2">
    <cellStyle name="Normal" xfId="0" builtinId="0"/>
    <cellStyle name="Per cent" xfId="1" builtinId="5"/>
  </cellStyles>
  <dxfs count="8">
    <dxf>
      <font>
        <color rgb="FF00B050"/>
      </font>
    </dxf>
    <dxf>
      <font>
        <color rgb="FFFF0000"/>
      </font>
    </dxf>
    <dxf>
      <font>
        <color rgb="FF7030A0"/>
      </font>
    </dxf>
    <dxf>
      <font>
        <color rgb="FFFFFF00"/>
      </font>
    </dxf>
    <dxf>
      <font>
        <color rgb="FF00B050"/>
      </font>
    </dxf>
    <dxf>
      <font>
        <color rgb="FFFF0000"/>
      </font>
    </dxf>
    <dxf>
      <font>
        <color rgb="FF7030A0"/>
      </font>
    </dxf>
    <dxf>
      <font>
        <color rgb="FFFFC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opLeftCell="A56" zoomScale="115" zoomScaleNormal="115" workbookViewId="0">
      <selection activeCell="H68" sqref="H68"/>
    </sheetView>
  </sheetViews>
  <sheetFormatPr defaultRowHeight="15.6" x14ac:dyDescent="0.3"/>
  <cols>
    <col min="1" max="1" width="8.88671875" style="1"/>
    <col min="2" max="2" width="9.109375" style="1" customWidth="1"/>
    <col min="3" max="3" width="13.6640625" style="9" customWidth="1"/>
    <col min="4" max="4" width="13.5546875" style="5" bestFit="1" customWidth="1"/>
    <col min="5" max="5" width="11.5546875" style="6" customWidth="1"/>
    <col min="6" max="6" width="18.88671875" style="38" bestFit="1" customWidth="1"/>
    <col min="7" max="16384" width="8.88671875" style="1"/>
  </cols>
  <sheetData>
    <row r="1" spans="1:6" s="2" customFormat="1" ht="19.95" customHeight="1" x14ac:dyDescent="0.3">
      <c r="A1" s="10" t="s">
        <v>5</v>
      </c>
      <c r="B1" s="10" t="s">
        <v>0</v>
      </c>
      <c r="C1" s="11" t="s">
        <v>1</v>
      </c>
      <c r="D1" s="12" t="s">
        <v>2</v>
      </c>
      <c r="E1" s="13" t="s">
        <v>3</v>
      </c>
      <c r="F1" s="33" t="s">
        <v>7</v>
      </c>
    </row>
    <row r="2" spans="1:6" s="2" customFormat="1" ht="19.8" customHeight="1" x14ac:dyDescent="0.3">
      <c r="A2" s="17">
        <v>1</v>
      </c>
      <c r="B2" s="17" t="s">
        <v>4</v>
      </c>
      <c r="C2" s="18">
        <v>46064</v>
      </c>
      <c r="D2" s="19">
        <v>51.7</v>
      </c>
      <c r="E2" s="20">
        <f>51.7-53.3</f>
        <v>-1.5999999999999943</v>
      </c>
      <c r="F2" s="34">
        <f>E2/53.3</f>
        <v>-3.0018761726078695E-2</v>
      </c>
    </row>
    <row r="3" spans="1:6" s="2" customFormat="1" ht="19.8" customHeight="1" x14ac:dyDescent="0.3">
      <c r="A3" s="17">
        <v>2</v>
      </c>
      <c r="B3" s="17" t="s">
        <v>4</v>
      </c>
      <c r="C3" s="18">
        <v>46065</v>
      </c>
      <c r="D3" s="19">
        <v>51.7</v>
      </c>
      <c r="E3" s="21">
        <f t="shared" ref="E3:E30" si="0">D3-D2</f>
        <v>0</v>
      </c>
      <c r="F3" s="35">
        <f t="shared" ref="F3:F30" si="1">E3/D2</f>
        <v>0</v>
      </c>
    </row>
    <row r="4" spans="1:6" s="2" customFormat="1" ht="19.8" customHeight="1" x14ac:dyDescent="0.3">
      <c r="A4" s="17">
        <v>3</v>
      </c>
      <c r="B4" s="17" t="s">
        <v>4</v>
      </c>
      <c r="C4" s="18">
        <v>46066</v>
      </c>
      <c r="D4" s="19">
        <v>52</v>
      </c>
      <c r="E4" s="21">
        <f t="shared" si="0"/>
        <v>0.29999999999999716</v>
      </c>
      <c r="F4" s="35">
        <f t="shared" si="1"/>
        <v>5.8027079303674496E-3</v>
      </c>
    </row>
    <row r="5" spans="1:6" s="2" customFormat="1" ht="19.8" customHeight="1" x14ac:dyDescent="0.3">
      <c r="A5" s="17">
        <v>4</v>
      </c>
      <c r="B5" s="17" t="s">
        <v>4</v>
      </c>
      <c r="C5" s="18">
        <v>46076</v>
      </c>
      <c r="D5" s="19">
        <v>55.6</v>
      </c>
      <c r="E5" s="21">
        <f t="shared" si="0"/>
        <v>3.6000000000000014</v>
      </c>
      <c r="F5" s="35">
        <f t="shared" si="1"/>
        <v>6.9230769230769262E-2</v>
      </c>
    </row>
    <row r="6" spans="1:6" s="2" customFormat="1" ht="19.8" customHeight="1" x14ac:dyDescent="0.3">
      <c r="A6" s="17">
        <v>5</v>
      </c>
      <c r="B6" s="17" t="s">
        <v>4</v>
      </c>
      <c r="C6" s="18">
        <v>46077</v>
      </c>
      <c r="D6" s="19">
        <v>57.7</v>
      </c>
      <c r="E6" s="21">
        <f t="shared" si="0"/>
        <v>2.1000000000000014</v>
      </c>
      <c r="F6" s="35">
        <f t="shared" si="1"/>
        <v>3.7769784172661892E-2</v>
      </c>
    </row>
    <row r="7" spans="1:6" s="2" customFormat="1" ht="19.8" customHeight="1" x14ac:dyDescent="0.3">
      <c r="A7" s="17">
        <v>6</v>
      </c>
      <c r="B7" s="17" t="s">
        <v>4</v>
      </c>
      <c r="C7" s="18">
        <v>46078</v>
      </c>
      <c r="D7" s="19">
        <v>58</v>
      </c>
      <c r="E7" s="21">
        <f t="shared" si="0"/>
        <v>0.29999999999999716</v>
      </c>
      <c r="F7" s="35">
        <f t="shared" si="1"/>
        <v>5.1993067590987369E-3</v>
      </c>
    </row>
    <row r="8" spans="1:6" s="2" customFormat="1" ht="19.8" customHeight="1" x14ac:dyDescent="0.3">
      <c r="A8" s="17">
        <v>7</v>
      </c>
      <c r="B8" s="17" t="s">
        <v>4</v>
      </c>
      <c r="C8" s="18">
        <v>46079</v>
      </c>
      <c r="D8" s="19">
        <v>57.5</v>
      </c>
      <c r="E8" s="21">
        <f t="shared" si="0"/>
        <v>-0.5</v>
      </c>
      <c r="F8" s="35">
        <f t="shared" si="1"/>
        <v>-8.6206896551724137E-3</v>
      </c>
    </row>
    <row r="9" spans="1:6" s="2" customFormat="1" ht="19.8" customHeight="1" x14ac:dyDescent="0.3">
      <c r="A9" s="17">
        <v>8</v>
      </c>
      <c r="B9" s="17" t="s">
        <v>4</v>
      </c>
      <c r="C9" s="18">
        <v>46080</v>
      </c>
      <c r="D9" s="19">
        <v>57.8</v>
      </c>
      <c r="E9" s="21">
        <f t="shared" si="0"/>
        <v>0.29999999999999716</v>
      </c>
      <c r="F9" s="35">
        <f t="shared" si="1"/>
        <v>5.2173913043477771E-3</v>
      </c>
    </row>
    <row r="10" spans="1:6" s="2" customFormat="1" ht="19.8" customHeight="1" x14ac:dyDescent="0.3">
      <c r="A10" s="17">
        <v>9</v>
      </c>
      <c r="B10" s="17" t="s">
        <v>4</v>
      </c>
      <c r="C10" s="18">
        <v>46083</v>
      </c>
      <c r="D10" s="19">
        <v>61.8</v>
      </c>
      <c r="E10" s="21">
        <f t="shared" si="0"/>
        <v>4</v>
      </c>
      <c r="F10" s="35">
        <f t="shared" si="1"/>
        <v>6.9204152249134954E-2</v>
      </c>
    </row>
    <row r="11" spans="1:6" s="2" customFormat="1" ht="19.8" customHeight="1" x14ac:dyDescent="0.3">
      <c r="A11" s="17">
        <v>10</v>
      </c>
      <c r="B11" s="17" t="s">
        <v>4</v>
      </c>
      <c r="C11" s="18">
        <v>46084</v>
      </c>
      <c r="D11" s="19">
        <v>66.099999999999994</v>
      </c>
      <c r="E11" s="21">
        <f t="shared" si="0"/>
        <v>4.2999999999999972</v>
      </c>
      <c r="F11" s="35">
        <f t="shared" si="1"/>
        <v>6.9579288025889918E-2</v>
      </c>
    </row>
    <row r="12" spans="1:6" s="2" customFormat="1" ht="19.8" customHeight="1" x14ac:dyDescent="0.3">
      <c r="A12" s="17">
        <v>11</v>
      </c>
      <c r="B12" s="17" t="s">
        <v>4</v>
      </c>
      <c r="C12" s="18">
        <v>46085</v>
      </c>
      <c r="D12" s="19">
        <v>69.5</v>
      </c>
      <c r="E12" s="21">
        <f t="shared" si="0"/>
        <v>3.4000000000000057</v>
      </c>
      <c r="F12" s="35">
        <f t="shared" si="1"/>
        <v>5.1437216338880577E-2</v>
      </c>
    </row>
    <row r="13" spans="1:6" s="2" customFormat="1" ht="19.8" customHeight="1" x14ac:dyDescent="0.3">
      <c r="A13" s="17">
        <v>12</v>
      </c>
      <c r="B13" s="17" t="s">
        <v>4</v>
      </c>
      <c r="C13" s="18">
        <v>46086</v>
      </c>
      <c r="D13" s="19">
        <v>64.7</v>
      </c>
      <c r="E13" s="21">
        <f t="shared" si="0"/>
        <v>-4.7999999999999972</v>
      </c>
      <c r="F13" s="35">
        <f t="shared" si="1"/>
        <v>-6.9064748201438805E-2</v>
      </c>
    </row>
    <row r="14" spans="1:6" s="2" customFormat="1" ht="19.8" customHeight="1" x14ac:dyDescent="0.3">
      <c r="A14" s="17">
        <v>13</v>
      </c>
      <c r="B14" s="17" t="s">
        <v>4</v>
      </c>
      <c r="C14" s="18">
        <v>46087</v>
      </c>
      <c r="D14" s="19">
        <v>62</v>
      </c>
      <c r="E14" s="21">
        <f t="shared" si="0"/>
        <v>-2.7000000000000028</v>
      </c>
      <c r="F14" s="35">
        <f t="shared" si="1"/>
        <v>-4.1731066460587371E-2</v>
      </c>
    </row>
    <row r="15" spans="1:6" s="2" customFormat="1" ht="19.8" customHeight="1" x14ac:dyDescent="0.3">
      <c r="A15" s="17">
        <v>14</v>
      </c>
      <c r="B15" s="17" t="s">
        <v>4</v>
      </c>
      <c r="C15" s="18">
        <v>46090</v>
      </c>
      <c r="D15" s="19">
        <v>57.7</v>
      </c>
      <c r="E15" s="21">
        <f t="shared" si="0"/>
        <v>-4.2999999999999972</v>
      </c>
      <c r="F15" s="35">
        <f t="shared" si="1"/>
        <v>-6.9354838709677374E-2</v>
      </c>
    </row>
    <row r="16" spans="1:6" s="2" customFormat="1" ht="19.8" customHeight="1" x14ac:dyDescent="0.3">
      <c r="A16" s="17">
        <v>15</v>
      </c>
      <c r="B16" s="17" t="s">
        <v>4</v>
      </c>
      <c r="C16" s="18">
        <v>46091</v>
      </c>
      <c r="D16" s="19">
        <v>53.7</v>
      </c>
      <c r="E16" s="21">
        <f t="shared" si="0"/>
        <v>-4</v>
      </c>
      <c r="F16" s="35">
        <f t="shared" si="1"/>
        <v>-6.9324090121317156E-2</v>
      </c>
    </row>
    <row r="17" spans="1:8" s="2" customFormat="1" ht="19.8" customHeight="1" x14ac:dyDescent="0.3">
      <c r="A17" s="17">
        <v>16</v>
      </c>
      <c r="B17" s="17" t="s">
        <v>4</v>
      </c>
      <c r="C17" s="18">
        <v>46092</v>
      </c>
      <c r="D17" s="19">
        <v>55.2</v>
      </c>
      <c r="E17" s="21">
        <f t="shared" si="0"/>
        <v>1.5</v>
      </c>
      <c r="F17" s="35">
        <f t="shared" si="1"/>
        <v>2.7932960893854747E-2</v>
      </c>
    </row>
    <row r="18" spans="1:8" s="2" customFormat="1" ht="19.8" customHeight="1" x14ac:dyDescent="0.3">
      <c r="A18" s="17">
        <v>17</v>
      </c>
      <c r="B18" s="17" t="s">
        <v>4</v>
      </c>
      <c r="C18" s="18">
        <v>46093</v>
      </c>
      <c r="D18" s="19">
        <v>52</v>
      </c>
      <c r="E18" s="21">
        <f t="shared" si="0"/>
        <v>-3.2000000000000028</v>
      </c>
      <c r="F18" s="35">
        <f t="shared" si="1"/>
        <v>-5.7971014492753672E-2</v>
      </c>
    </row>
    <row r="19" spans="1:8" s="2" customFormat="1" ht="19.8" customHeight="1" x14ac:dyDescent="0.3">
      <c r="A19" s="17">
        <v>18</v>
      </c>
      <c r="B19" s="17" t="s">
        <v>4</v>
      </c>
      <c r="C19" s="18">
        <v>46094</v>
      </c>
      <c r="D19" s="19">
        <v>48.4</v>
      </c>
      <c r="E19" s="21">
        <f t="shared" si="0"/>
        <v>-3.6000000000000014</v>
      </c>
      <c r="F19" s="35">
        <f t="shared" si="1"/>
        <v>-6.9230769230769262E-2</v>
      </c>
    </row>
    <row r="20" spans="1:8" s="2" customFormat="1" ht="19.8" customHeight="1" x14ac:dyDescent="0.3">
      <c r="A20" s="17">
        <v>19</v>
      </c>
      <c r="B20" s="17" t="s">
        <v>4</v>
      </c>
      <c r="C20" s="18">
        <v>46097</v>
      </c>
      <c r="D20" s="19">
        <v>46.7</v>
      </c>
      <c r="E20" s="21">
        <f t="shared" si="0"/>
        <v>-1.6999999999999957</v>
      </c>
      <c r="F20" s="35">
        <f t="shared" si="1"/>
        <v>-3.5123966942148671E-2</v>
      </c>
    </row>
    <row r="21" spans="1:8" s="2" customFormat="1" ht="19.8" customHeight="1" x14ac:dyDescent="0.3">
      <c r="A21" s="17">
        <v>20</v>
      </c>
      <c r="B21" s="17" t="s">
        <v>4</v>
      </c>
      <c r="C21" s="18">
        <v>46098</v>
      </c>
      <c r="D21" s="19">
        <v>45.65</v>
      </c>
      <c r="E21" s="21">
        <f t="shared" si="0"/>
        <v>-1.0500000000000043</v>
      </c>
      <c r="F21" s="35">
        <f t="shared" si="1"/>
        <v>-2.2483940042826642E-2</v>
      </c>
    </row>
    <row r="22" spans="1:8" s="2" customFormat="1" ht="19.8" customHeight="1" x14ac:dyDescent="0.3">
      <c r="A22" s="17">
        <v>21</v>
      </c>
      <c r="B22" s="17" t="s">
        <v>4</v>
      </c>
      <c r="C22" s="18">
        <v>46099</v>
      </c>
      <c r="D22" s="19">
        <v>48.45</v>
      </c>
      <c r="E22" s="21">
        <f t="shared" si="0"/>
        <v>2.8000000000000043</v>
      </c>
      <c r="F22" s="35">
        <f t="shared" si="1"/>
        <v>6.1336254107338541E-2</v>
      </c>
    </row>
    <row r="23" spans="1:8" s="2" customFormat="1" ht="19.8" customHeight="1" x14ac:dyDescent="0.3">
      <c r="A23" s="17">
        <v>22</v>
      </c>
      <c r="B23" s="17" t="s">
        <v>4</v>
      </c>
      <c r="C23" s="18">
        <v>46100</v>
      </c>
      <c r="D23" s="19">
        <v>46</v>
      </c>
      <c r="E23" s="21">
        <f t="shared" si="0"/>
        <v>-2.4500000000000028</v>
      </c>
      <c r="F23" s="35">
        <f t="shared" si="1"/>
        <v>-5.0567595459236385E-2</v>
      </c>
    </row>
    <row r="24" spans="1:8" s="2" customFormat="1" ht="19.8" customHeight="1" x14ac:dyDescent="0.3">
      <c r="A24" s="17">
        <v>23</v>
      </c>
      <c r="B24" s="17" t="s">
        <v>4</v>
      </c>
      <c r="C24" s="18">
        <v>46101</v>
      </c>
      <c r="D24" s="19">
        <v>42.8</v>
      </c>
      <c r="E24" s="21">
        <f t="shared" si="0"/>
        <v>-3.2000000000000028</v>
      </c>
      <c r="F24" s="35">
        <f t="shared" si="1"/>
        <v>-6.9565217391304404E-2</v>
      </c>
    </row>
    <row r="25" spans="1:8" s="2" customFormat="1" ht="19.8" customHeight="1" x14ac:dyDescent="0.3">
      <c r="A25" s="17">
        <v>24</v>
      </c>
      <c r="B25" s="17" t="s">
        <v>4</v>
      </c>
      <c r="C25" s="18">
        <v>46104</v>
      </c>
      <c r="D25" s="19">
        <v>41</v>
      </c>
      <c r="E25" s="21">
        <f t="shared" si="0"/>
        <v>-1.7999999999999972</v>
      </c>
      <c r="F25" s="35">
        <f t="shared" si="1"/>
        <v>-4.2056074766355075E-2</v>
      </c>
    </row>
    <row r="26" spans="1:8" s="2" customFormat="1" ht="19.8" customHeight="1" x14ac:dyDescent="0.3">
      <c r="A26" s="17">
        <v>25</v>
      </c>
      <c r="B26" s="17" t="s">
        <v>4</v>
      </c>
      <c r="C26" s="18">
        <v>46105</v>
      </c>
      <c r="D26" s="19">
        <v>39.799999999999997</v>
      </c>
      <c r="E26" s="21">
        <f t="shared" si="0"/>
        <v>-1.2000000000000028</v>
      </c>
      <c r="F26" s="35">
        <f t="shared" si="1"/>
        <v>-2.9268292682926897E-2</v>
      </c>
    </row>
    <row r="27" spans="1:8" s="2" customFormat="1" ht="19.8" customHeight="1" x14ac:dyDescent="0.3">
      <c r="A27" s="17">
        <v>26</v>
      </c>
      <c r="B27" s="17" t="s">
        <v>4</v>
      </c>
      <c r="C27" s="18">
        <v>46106</v>
      </c>
      <c r="D27" s="19">
        <v>41.3</v>
      </c>
      <c r="E27" s="21">
        <f t="shared" si="0"/>
        <v>1.5</v>
      </c>
      <c r="F27" s="35">
        <f t="shared" si="1"/>
        <v>3.768844221105528E-2</v>
      </c>
    </row>
    <row r="28" spans="1:8" s="2" customFormat="1" ht="19.8" customHeight="1" x14ac:dyDescent="0.3">
      <c r="A28" s="17">
        <v>27</v>
      </c>
      <c r="B28" s="17" t="s">
        <v>4</v>
      </c>
      <c r="C28" s="18">
        <v>46107</v>
      </c>
      <c r="D28" s="19">
        <v>39.9</v>
      </c>
      <c r="E28" s="21">
        <f t="shared" si="0"/>
        <v>-1.3999999999999986</v>
      </c>
      <c r="F28" s="35">
        <f t="shared" si="1"/>
        <v>-3.3898305084745728E-2</v>
      </c>
    </row>
    <row r="29" spans="1:8" s="2" customFormat="1" ht="19.8" customHeight="1" x14ac:dyDescent="0.3">
      <c r="A29" s="17">
        <v>28</v>
      </c>
      <c r="B29" s="17" t="s">
        <v>4</v>
      </c>
      <c r="C29" s="18">
        <v>46108</v>
      </c>
      <c r="D29" s="19">
        <v>42.25</v>
      </c>
      <c r="E29" s="21">
        <f t="shared" si="0"/>
        <v>2.3500000000000014</v>
      </c>
      <c r="F29" s="35">
        <f t="shared" si="1"/>
        <v>5.8897243107769462E-2</v>
      </c>
    </row>
    <row r="30" spans="1:8" s="2" customFormat="1" ht="19.8" customHeight="1" x14ac:dyDescent="0.3">
      <c r="A30" s="17">
        <v>29</v>
      </c>
      <c r="B30" s="17" t="s">
        <v>4</v>
      </c>
      <c r="C30" s="18">
        <v>46111</v>
      </c>
      <c r="D30" s="19">
        <v>41.4</v>
      </c>
      <c r="E30" s="21">
        <f t="shared" si="0"/>
        <v>-0.85000000000000142</v>
      </c>
      <c r="F30" s="35">
        <f t="shared" si="1"/>
        <v>-2.0118343195266307E-2</v>
      </c>
    </row>
    <row r="31" spans="1:8" x14ac:dyDescent="0.3">
      <c r="A31" s="17">
        <v>30</v>
      </c>
      <c r="B31" s="17" t="s">
        <v>4</v>
      </c>
      <c r="C31" s="22">
        <v>46112</v>
      </c>
      <c r="D31" s="23">
        <v>40.4</v>
      </c>
      <c r="E31" s="21">
        <f>D31-D30</f>
        <v>-1</v>
      </c>
      <c r="F31" s="36">
        <f>E31/D30</f>
        <v>-2.4154589371980676E-2</v>
      </c>
    </row>
    <row r="32" spans="1:8" x14ac:dyDescent="0.3">
      <c r="A32" s="3">
        <v>1</v>
      </c>
      <c r="B32" s="3" t="s">
        <v>4</v>
      </c>
      <c r="C32" s="4">
        <v>46113</v>
      </c>
      <c r="D32" s="8">
        <v>40.700000000000003</v>
      </c>
      <c r="E32" s="7">
        <f>D32-D31</f>
        <v>0.30000000000000426</v>
      </c>
      <c r="F32" s="37">
        <f>E32/D31</f>
        <v>7.4257425742575312E-3</v>
      </c>
      <c r="H32" s="5"/>
    </row>
    <row r="33" spans="1:8" x14ac:dyDescent="0.3">
      <c r="A33" s="3">
        <v>2</v>
      </c>
      <c r="B33" s="3" t="s">
        <v>4</v>
      </c>
      <c r="C33" s="4">
        <v>46114</v>
      </c>
      <c r="D33" s="8">
        <v>40.4</v>
      </c>
      <c r="E33" s="7">
        <f t="shared" ref="E33:E61" si="2">D33-D32</f>
        <v>-0.30000000000000426</v>
      </c>
      <c r="F33" s="37">
        <f t="shared" ref="F33:F60" si="3">E33/D32</f>
        <v>-7.3710073710074753E-3</v>
      </c>
      <c r="H33" s="5"/>
    </row>
    <row r="34" spans="1:8" x14ac:dyDescent="0.3">
      <c r="A34" s="3">
        <v>3</v>
      </c>
      <c r="B34" s="3" t="s">
        <v>4</v>
      </c>
      <c r="C34" s="4">
        <v>46115</v>
      </c>
      <c r="D34" s="8">
        <v>40.200000000000003</v>
      </c>
      <c r="E34" s="7">
        <f t="shared" si="2"/>
        <v>-0.19999999999999574</v>
      </c>
      <c r="F34" s="37">
        <f t="shared" si="3"/>
        <v>-4.9504950495048447E-3</v>
      </c>
      <c r="H34" s="5"/>
    </row>
    <row r="35" spans="1:8" x14ac:dyDescent="0.3">
      <c r="A35" s="3">
        <v>4</v>
      </c>
      <c r="B35" s="3" t="s">
        <v>4</v>
      </c>
      <c r="C35" s="4">
        <v>46118</v>
      </c>
      <c r="D35" s="8">
        <v>38.9</v>
      </c>
      <c r="E35" s="7">
        <f t="shared" si="2"/>
        <v>-1.3000000000000043</v>
      </c>
      <c r="F35" s="37">
        <f t="shared" si="3"/>
        <v>-3.2338308457711545E-2</v>
      </c>
    </row>
    <row r="36" spans="1:8" x14ac:dyDescent="0.3">
      <c r="A36" s="3">
        <v>5</v>
      </c>
      <c r="B36" s="3" t="s">
        <v>4</v>
      </c>
      <c r="C36" s="4">
        <v>46119</v>
      </c>
      <c r="D36" s="8">
        <v>38.6</v>
      </c>
      <c r="E36" s="7">
        <f t="shared" si="2"/>
        <v>-0.29999999999999716</v>
      </c>
      <c r="F36" s="37">
        <f t="shared" si="3"/>
        <v>-7.7120822622107239E-3</v>
      </c>
    </row>
    <row r="37" spans="1:8" x14ac:dyDescent="0.3">
      <c r="A37" s="3">
        <v>6</v>
      </c>
      <c r="B37" s="3" t="s">
        <v>4</v>
      </c>
      <c r="C37" s="4">
        <v>46120</v>
      </c>
      <c r="D37" s="8">
        <v>40.5</v>
      </c>
      <c r="E37" s="7">
        <f t="shared" si="2"/>
        <v>1.8999999999999986</v>
      </c>
      <c r="F37" s="37">
        <f t="shared" si="3"/>
        <v>4.92227979274611E-2</v>
      </c>
    </row>
    <row r="38" spans="1:8" x14ac:dyDescent="0.3">
      <c r="A38" s="3">
        <v>7</v>
      </c>
      <c r="B38" s="3" t="s">
        <v>4</v>
      </c>
      <c r="C38" s="4">
        <v>46121</v>
      </c>
      <c r="D38" s="8">
        <v>39.5</v>
      </c>
      <c r="E38" s="7">
        <f t="shared" si="2"/>
        <v>-1</v>
      </c>
      <c r="F38" s="37">
        <f t="shared" si="3"/>
        <v>-2.4691358024691357E-2</v>
      </c>
    </row>
    <row r="39" spans="1:8" x14ac:dyDescent="0.3">
      <c r="A39" s="3">
        <v>8</v>
      </c>
      <c r="B39" s="3" t="s">
        <v>4</v>
      </c>
      <c r="C39" s="4">
        <v>46122</v>
      </c>
      <c r="D39" s="8">
        <v>41.15</v>
      </c>
      <c r="E39" s="7">
        <f t="shared" si="2"/>
        <v>1.6499999999999986</v>
      </c>
      <c r="F39" s="37">
        <f t="shared" si="3"/>
        <v>4.1772151898734143E-2</v>
      </c>
    </row>
    <row r="40" spans="1:8" x14ac:dyDescent="0.3">
      <c r="A40" s="3">
        <v>9</v>
      </c>
      <c r="B40" s="3" t="s">
        <v>4</v>
      </c>
      <c r="C40" s="4">
        <v>46125</v>
      </c>
      <c r="D40" s="8">
        <v>40.700000000000003</v>
      </c>
      <c r="E40" s="7">
        <f t="shared" si="2"/>
        <v>-0.44999999999999574</v>
      </c>
      <c r="F40" s="37">
        <f t="shared" si="3"/>
        <v>-1.0935601458080091E-2</v>
      </c>
    </row>
    <row r="41" spans="1:8" x14ac:dyDescent="0.3">
      <c r="A41" s="3">
        <v>10</v>
      </c>
      <c r="B41" s="3" t="s">
        <v>4</v>
      </c>
      <c r="C41" s="4">
        <v>46126</v>
      </c>
      <c r="D41" s="8">
        <v>40.15</v>
      </c>
      <c r="E41" s="7">
        <f t="shared" si="2"/>
        <v>-0.55000000000000426</v>
      </c>
      <c r="F41" s="37">
        <f t="shared" si="3"/>
        <v>-1.3513513513513617E-2</v>
      </c>
    </row>
    <row r="42" spans="1:8" x14ac:dyDescent="0.3">
      <c r="A42" s="3">
        <v>11</v>
      </c>
      <c r="B42" s="3" t="s">
        <v>4</v>
      </c>
      <c r="C42" s="4">
        <v>46127</v>
      </c>
      <c r="D42" s="8">
        <v>39.799999999999997</v>
      </c>
      <c r="E42" s="7">
        <f t="shared" si="2"/>
        <v>-0.35000000000000142</v>
      </c>
      <c r="F42" s="37">
        <f t="shared" si="3"/>
        <v>-8.7173100871731357E-3</v>
      </c>
    </row>
    <row r="43" spans="1:8" x14ac:dyDescent="0.3">
      <c r="A43" s="3">
        <v>12</v>
      </c>
      <c r="B43" s="3" t="s">
        <v>4</v>
      </c>
      <c r="C43" s="4">
        <v>46128</v>
      </c>
      <c r="D43" s="8">
        <v>39.1</v>
      </c>
      <c r="E43" s="7">
        <f t="shared" si="2"/>
        <v>-0.69999999999999574</v>
      </c>
      <c r="F43" s="37">
        <f t="shared" si="3"/>
        <v>-1.7587939698492358E-2</v>
      </c>
    </row>
    <row r="44" spans="1:8" x14ac:dyDescent="0.3">
      <c r="A44" s="3">
        <v>13</v>
      </c>
      <c r="B44" s="3" t="s">
        <v>4</v>
      </c>
      <c r="C44" s="4">
        <v>46129</v>
      </c>
      <c r="D44" s="8">
        <v>39.950000000000003</v>
      </c>
      <c r="E44" s="7">
        <f t="shared" si="2"/>
        <v>0.85000000000000142</v>
      </c>
      <c r="F44" s="37">
        <f t="shared" si="3"/>
        <v>2.1739130434782643E-2</v>
      </c>
    </row>
    <row r="45" spans="1:8" x14ac:dyDescent="0.3">
      <c r="A45" s="3">
        <v>14</v>
      </c>
      <c r="B45" s="3" t="s">
        <v>4</v>
      </c>
      <c r="C45" s="4">
        <v>46132</v>
      </c>
      <c r="D45" s="8">
        <v>39.450000000000003</v>
      </c>
      <c r="E45" s="7">
        <f t="shared" si="2"/>
        <v>-0.5</v>
      </c>
      <c r="F45" s="37">
        <f t="shared" si="3"/>
        <v>-1.2515644555694618E-2</v>
      </c>
    </row>
    <row r="46" spans="1:8" x14ac:dyDescent="0.3">
      <c r="A46" s="3">
        <v>15</v>
      </c>
      <c r="B46" s="3" t="s">
        <v>4</v>
      </c>
      <c r="C46" s="4">
        <v>46133</v>
      </c>
      <c r="D46" s="8">
        <v>39.35</v>
      </c>
      <c r="E46" s="7">
        <f t="shared" si="2"/>
        <v>-0.10000000000000142</v>
      </c>
      <c r="F46" s="37">
        <f t="shared" si="3"/>
        <v>-2.5348542458808977E-3</v>
      </c>
    </row>
    <row r="47" spans="1:8" x14ac:dyDescent="0.3">
      <c r="A47" s="3">
        <v>16</v>
      </c>
      <c r="B47" s="3" t="s">
        <v>4</v>
      </c>
      <c r="C47" s="4">
        <v>46134</v>
      </c>
      <c r="D47" s="8">
        <v>39</v>
      </c>
      <c r="E47" s="7">
        <f t="shared" si="2"/>
        <v>-0.35000000000000142</v>
      </c>
      <c r="F47" s="37">
        <f t="shared" si="3"/>
        <v>-8.8945362134689055E-3</v>
      </c>
    </row>
    <row r="48" spans="1:8" x14ac:dyDescent="0.3">
      <c r="A48" s="3">
        <v>17</v>
      </c>
      <c r="B48" s="3" t="s">
        <v>4</v>
      </c>
      <c r="C48" s="4">
        <v>46135</v>
      </c>
      <c r="D48" s="8">
        <v>39.299999999999997</v>
      </c>
      <c r="E48" s="7">
        <f t="shared" si="2"/>
        <v>0.29999999999999716</v>
      </c>
      <c r="F48" s="37">
        <f t="shared" si="3"/>
        <v>7.692307692307619E-3</v>
      </c>
    </row>
    <row r="49" spans="1:8" x14ac:dyDescent="0.3">
      <c r="A49" s="3">
        <v>18</v>
      </c>
      <c r="B49" s="3" t="s">
        <v>4</v>
      </c>
      <c r="C49" s="4">
        <v>46136</v>
      </c>
      <c r="D49" s="8">
        <v>39.700000000000003</v>
      </c>
      <c r="E49" s="7">
        <f t="shared" si="2"/>
        <v>0.40000000000000568</v>
      </c>
      <c r="F49" s="37">
        <f t="shared" si="3"/>
        <v>1.0178117048346201E-2</v>
      </c>
    </row>
    <row r="50" spans="1:8" x14ac:dyDescent="0.3">
      <c r="A50" s="3">
        <v>19</v>
      </c>
      <c r="B50" s="3" t="s">
        <v>4</v>
      </c>
      <c r="C50" s="4">
        <v>46140</v>
      </c>
      <c r="D50" s="8">
        <v>36.950000000000003</v>
      </c>
      <c r="E50" s="7">
        <f t="shared" si="2"/>
        <v>-2.75</v>
      </c>
      <c r="F50" s="37">
        <f t="shared" si="3"/>
        <v>-6.9269521410579335E-2</v>
      </c>
    </row>
    <row r="51" spans="1:8" x14ac:dyDescent="0.3">
      <c r="A51" s="3">
        <v>20</v>
      </c>
      <c r="B51" s="3" t="s">
        <v>4</v>
      </c>
      <c r="C51" s="4">
        <v>46141</v>
      </c>
      <c r="D51" s="8">
        <v>37.15</v>
      </c>
      <c r="E51" s="7">
        <f t="shared" si="2"/>
        <v>0.19999999999999574</v>
      </c>
      <c r="F51" s="37">
        <f t="shared" si="3"/>
        <v>5.4127198917454863E-3</v>
      </c>
    </row>
    <row r="52" spans="1:8" x14ac:dyDescent="0.3">
      <c r="A52" s="3">
        <v>21</v>
      </c>
      <c r="B52" s="3" t="s">
        <v>4</v>
      </c>
      <c r="C52" s="4">
        <v>46146</v>
      </c>
      <c r="D52" s="8">
        <v>38.700000000000003</v>
      </c>
      <c r="E52" s="7">
        <f t="shared" si="2"/>
        <v>1.5500000000000043</v>
      </c>
      <c r="F52" s="37">
        <f t="shared" si="3"/>
        <v>4.1722745625841301E-2</v>
      </c>
    </row>
    <row r="53" spans="1:8" x14ac:dyDescent="0.3">
      <c r="A53" s="3">
        <v>22</v>
      </c>
      <c r="B53" s="3" t="s">
        <v>4</v>
      </c>
      <c r="C53" s="4">
        <v>46147</v>
      </c>
      <c r="D53" s="8">
        <v>39.25</v>
      </c>
      <c r="E53" s="7">
        <f t="shared" si="2"/>
        <v>0.54999999999999716</v>
      </c>
      <c r="F53" s="37">
        <f t="shared" si="3"/>
        <v>1.4211886304909487E-2</v>
      </c>
    </row>
    <row r="54" spans="1:8" x14ac:dyDescent="0.3">
      <c r="A54" s="3">
        <v>23</v>
      </c>
      <c r="B54" s="3" t="s">
        <v>4</v>
      </c>
      <c r="C54" s="4">
        <v>46148</v>
      </c>
      <c r="D54" s="8">
        <v>39</v>
      </c>
      <c r="E54" s="7">
        <f t="shared" si="2"/>
        <v>-0.25</v>
      </c>
      <c r="F54" s="37">
        <f t="shared" si="3"/>
        <v>-6.369426751592357E-3</v>
      </c>
    </row>
    <row r="55" spans="1:8" x14ac:dyDescent="0.3">
      <c r="A55" s="3">
        <v>24</v>
      </c>
      <c r="B55" s="3" t="s">
        <v>4</v>
      </c>
      <c r="C55" s="4">
        <v>46149</v>
      </c>
      <c r="D55" s="8">
        <v>37.700000000000003</v>
      </c>
      <c r="E55" s="7">
        <f t="shared" si="2"/>
        <v>-1.2999999999999972</v>
      </c>
      <c r="F55" s="37">
        <f t="shared" si="3"/>
        <v>-3.3333333333333263E-2</v>
      </c>
    </row>
    <row r="56" spans="1:8" x14ac:dyDescent="0.3">
      <c r="A56" s="3">
        <v>25</v>
      </c>
      <c r="B56" s="3" t="s">
        <v>4</v>
      </c>
      <c r="C56" s="4">
        <v>46150</v>
      </c>
      <c r="D56" s="8">
        <v>37.6</v>
      </c>
      <c r="E56" s="7">
        <f t="shared" si="2"/>
        <v>-0.10000000000000142</v>
      </c>
      <c r="F56" s="37">
        <f t="shared" si="3"/>
        <v>-2.6525198938992418E-3</v>
      </c>
    </row>
    <row r="57" spans="1:8" x14ac:dyDescent="0.3">
      <c r="A57" s="3">
        <v>26</v>
      </c>
      <c r="B57" s="3" t="s">
        <v>4</v>
      </c>
      <c r="C57" s="4">
        <v>46153</v>
      </c>
      <c r="D57" s="8">
        <v>36.799999999999997</v>
      </c>
      <c r="E57" s="7">
        <f t="shared" si="2"/>
        <v>-0.80000000000000426</v>
      </c>
      <c r="F57" s="37">
        <f t="shared" si="3"/>
        <v>-2.1276595744680965E-2</v>
      </c>
    </row>
    <row r="58" spans="1:8" x14ac:dyDescent="0.3">
      <c r="A58" s="3">
        <v>27</v>
      </c>
      <c r="B58" s="3" t="s">
        <v>4</v>
      </c>
      <c r="C58" s="4">
        <v>46154</v>
      </c>
      <c r="D58" s="8">
        <v>37.799999999999997</v>
      </c>
      <c r="E58" s="7">
        <f t="shared" si="2"/>
        <v>1</v>
      </c>
      <c r="F58" s="37">
        <f t="shared" si="3"/>
        <v>2.7173913043478264E-2</v>
      </c>
    </row>
    <row r="59" spans="1:8" x14ac:dyDescent="0.3">
      <c r="A59" s="3">
        <v>28</v>
      </c>
      <c r="B59" s="3" t="s">
        <v>4</v>
      </c>
      <c r="C59" s="4">
        <v>46155</v>
      </c>
      <c r="D59" s="8">
        <v>40.35</v>
      </c>
      <c r="E59" s="7">
        <f t="shared" si="2"/>
        <v>2.5500000000000043</v>
      </c>
      <c r="F59" s="37">
        <f t="shared" si="3"/>
        <v>6.7460317460317581E-2</v>
      </c>
    </row>
    <row r="60" spans="1:8" x14ac:dyDescent="0.3">
      <c r="A60" s="3">
        <v>29</v>
      </c>
      <c r="B60" s="3" t="s">
        <v>4</v>
      </c>
      <c r="C60" s="4">
        <v>46156</v>
      </c>
      <c r="D60" s="8">
        <v>39.85</v>
      </c>
      <c r="E60" s="7">
        <f t="shared" si="2"/>
        <v>-0.5</v>
      </c>
      <c r="F60" s="37">
        <f t="shared" si="3"/>
        <v>-1.2391573729863692E-2</v>
      </c>
      <c r="H60" s="5"/>
    </row>
    <row r="61" spans="1:8" x14ac:dyDescent="0.3">
      <c r="A61" s="3">
        <v>30</v>
      </c>
      <c r="B61" s="3" t="s">
        <v>4</v>
      </c>
      <c r="C61" s="4">
        <v>46157</v>
      </c>
      <c r="D61" s="14">
        <v>42.2</v>
      </c>
      <c r="E61" s="7">
        <f t="shared" si="2"/>
        <v>2.3500000000000014</v>
      </c>
      <c r="F61" s="37">
        <f t="shared" ref="F61" si="4">E61/D60</f>
        <v>5.8971141781681335E-2</v>
      </c>
      <c r="G61" s="5"/>
      <c r="H61" s="5"/>
    </row>
    <row r="62" spans="1:8" x14ac:dyDescent="0.3">
      <c r="A62" s="3">
        <v>31</v>
      </c>
      <c r="B62" s="3" t="s">
        <v>4</v>
      </c>
      <c r="C62" s="4">
        <v>46160</v>
      </c>
      <c r="D62" s="14">
        <v>45.15</v>
      </c>
      <c r="E62" s="7">
        <f t="shared" ref="E62" si="5">D62-D61</f>
        <v>2.9499999999999957</v>
      </c>
      <c r="F62" s="37">
        <f t="shared" ref="F62" si="6">E62/D61</f>
        <v>6.9905213270142069E-2</v>
      </c>
      <c r="G62" s="5"/>
    </row>
    <row r="63" spans="1:8" x14ac:dyDescent="0.3">
      <c r="A63" s="3">
        <v>32</v>
      </c>
      <c r="B63" s="3" t="s">
        <v>4</v>
      </c>
      <c r="C63" s="4">
        <v>46161</v>
      </c>
      <c r="D63" s="14">
        <v>42</v>
      </c>
      <c r="E63" s="7">
        <f t="shared" ref="E63" si="7">D63-D62</f>
        <v>-3.1499999999999986</v>
      </c>
      <c r="F63" s="37">
        <f t="shared" ref="F63" si="8">E63/D62</f>
        <v>-6.9767441860465088E-2</v>
      </c>
    </row>
    <row r="64" spans="1:8" x14ac:dyDescent="0.3">
      <c r="A64" s="3">
        <v>33</v>
      </c>
      <c r="B64" s="3" t="s">
        <v>4</v>
      </c>
      <c r="C64" s="4">
        <v>46162</v>
      </c>
      <c r="D64" s="14">
        <v>43.85</v>
      </c>
      <c r="E64" s="7">
        <f t="shared" ref="E64" si="9">D64-D63</f>
        <v>1.8500000000000014</v>
      </c>
      <c r="F64" s="37">
        <f t="shared" ref="F64" si="10">E64/D63</f>
        <v>4.4047619047619078E-2</v>
      </c>
    </row>
    <row r="65" spans="1:6" x14ac:dyDescent="0.3">
      <c r="A65" s="3">
        <v>34</v>
      </c>
      <c r="B65" s="3" t="s">
        <v>4</v>
      </c>
      <c r="C65" s="4">
        <v>46163</v>
      </c>
      <c r="D65" s="14">
        <v>42.95</v>
      </c>
      <c r="E65" s="7">
        <f t="shared" ref="E65" si="11">D65-D64</f>
        <v>-0.89999999999999858</v>
      </c>
      <c r="F65" s="37">
        <f t="shared" ref="F65" si="12">E65/D64</f>
        <v>-2.0524515393386511E-2</v>
      </c>
    </row>
    <row r="66" spans="1:6" x14ac:dyDescent="0.3">
      <c r="A66" s="3">
        <v>35</v>
      </c>
      <c r="B66" s="3" t="s">
        <v>4</v>
      </c>
      <c r="C66" s="4">
        <v>46164</v>
      </c>
      <c r="D66" s="14">
        <v>41.95</v>
      </c>
      <c r="E66" s="7">
        <f t="shared" ref="E66" si="13">D66-D65</f>
        <v>-1</v>
      </c>
      <c r="F66" s="37">
        <f t="shared" ref="F66:F67" si="14">E66/D65</f>
        <v>-2.3282887077997669E-2</v>
      </c>
    </row>
    <row r="67" spans="1:6" x14ac:dyDescent="0.3">
      <c r="A67" s="3">
        <v>36</v>
      </c>
      <c r="B67" s="3" t="s">
        <v>4</v>
      </c>
      <c r="C67" s="4">
        <v>46165</v>
      </c>
      <c r="D67" s="14">
        <v>39.700000000000003</v>
      </c>
      <c r="E67" s="7">
        <f t="shared" ref="E67" si="15">D67-D66</f>
        <v>-2.25</v>
      </c>
      <c r="F67" s="37">
        <f t="shared" si="14"/>
        <v>-5.3635280095351602E-2</v>
      </c>
    </row>
  </sheetData>
  <sortState xmlns:xlrd2="http://schemas.microsoft.com/office/spreadsheetml/2017/richdata2" ref="B42:D64">
    <sortCondition ref="C42:C64"/>
  </sortState>
  <conditionalFormatting sqref="F2:F67">
    <cfRule type="cellIs" dxfId="7" priority="1" operator="equal">
      <formula>0</formula>
    </cfRule>
    <cfRule type="expression" dxfId="6" priority="3" stopIfTrue="1">
      <formula>$F2&gt;=0.0674</formula>
    </cfRule>
    <cfRule type="cellIs" dxfId="5" priority="4" operator="lessThan">
      <formula>0</formula>
    </cfRule>
    <cfRule type="cellIs" dxfId="4" priority="5" operator="greaterThan">
      <formula>0</formula>
    </cfRule>
  </conditionalFormatting>
  <conditionalFormatting sqref="F3">
    <cfRule type="cellIs" dxfId="3" priority="2" operator="notBetween">
      <formula>0</formula>
      <formula>0</formula>
    </cfRule>
  </conditionalFormatting>
  <conditionalFormatting sqref="F31:F67">
    <cfRule type="expression" dxfId="2" priority="6" stopIfTrue="1">
      <formula>$F31&gt;=0.0674</formula>
    </cfRule>
    <cfRule type="cellIs" dxfId="1" priority="7" operator="lessThan">
      <formula>0</formula>
    </cfRule>
    <cfRule type="cellIs" dxfId="0" priority="8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0"/>
  <sheetViews>
    <sheetView tabSelected="1" zoomScaleNormal="100" workbookViewId="0">
      <selection activeCell="A11" sqref="A11"/>
    </sheetView>
  </sheetViews>
  <sheetFormatPr defaultRowHeight="16.8" x14ac:dyDescent="0.3"/>
  <cols>
    <col min="1" max="2" width="8.88671875" style="26"/>
    <col min="3" max="3" width="15.5546875" style="26" customWidth="1"/>
    <col min="4" max="4" width="47.5546875" style="26" bestFit="1" customWidth="1"/>
    <col min="5" max="5" width="9.109375" style="26" bestFit="1" customWidth="1"/>
    <col min="6" max="16384" width="8.88671875" style="26"/>
  </cols>
  <sheetData>
    <row r="1" spans="1:5" ht="22.05" customHeight="1" x14ac:dyDescent="0.3">
      <c r="A1" s="15" t="s">
        <v>5</v>
      </c>
      <c r="B1" s="15" t="s">
        <v>0</v>
      </c>
      <c r="C1" s="15" t="s">
        <v>1</v>
      </c>
      <c r="D1" s="15" t="s">
        <v>6</v>
      </c>
      <c r="E1" s="25"/>
    </row>
    <row r="2" spans="1:5" ht="22.05" customHeight="1" x14ac:dyDescent="0.3">
      <c r="A2" s="24">
        <v>1</v>
      </c>
      <c r="B2" s="27" t="s">
        <v>4</v>
      </c>
      <c r="C2" s="28">
        <v>46112</v>
      </c>
      <c r="D2" s="29">
        <f>AVERAGE('Lịch sử giá'!D2:D31)</f>
        <v>51.625000000000014</v>
      </c>
      <c r="E2" s="25"/>
    </row>
    <row r="3" spans="1:5" x14ac:dyDescent="0.3">
      <c r="A3" s="30">
        <v>2</v>
      </c>
      <c r="B3" s="30" t="s">
        <v>4</v>
      </c>
      <c r="C3" s="31">
        <v>46156</v>
      </c>
      <c r="D3" s="32">
        <f>AVERAGE('Lịch sử giá'!D31:D60)</f>
        <v>39.266666666666666</v>
      </c>
    </row>
    <row r="4" spans="1:5" x14ac:dyDescent="0.3">
      <c r="A4" s="16">
        <v>3</v>
      </c>
      <c r="B4" s="30" t="s">
        <v>4</v>
      </c>
      <c r="C4" s="31">
        <v>46157</v>
      </c>
      <c r="D4" s="32">
        <f>AVERAGE('Lịch sử giá'!D32:D61)</f>
        <v>39.326666666666668</v>
      </c>
    </row>
    <row r="5" spans="1:5" x14ac:dyDescent="0.3">
      <c r="A5" s="30">
        <v>4</v>
      </c>
      <c r="B5" s="30" t="s">
        <v>4</v>
      </c>
      <c r="C5" s="31">
        <v>46160</v>
      </c>
      <c r="D5" s="32">
        <f>AVERAGE('Lịch sử giá'!D33:D62)</f>
        <v>39.475000000000001</v>
      </c>
    </row>
    <row r="6" spans="1:5" x14ac:dyDescent="0.3">
      <c r="A6" s="30">
        <v>5</v>
      </c>
      <c r="B6" s="30" t="s">
        <v>4</v>
      </c>
      <c r="C6" s="31">
        <v>46161</v>
      </c>
      <c r="D6" s="32">
        <f>AVERAGE('Lịch sử giá'!D34:D63)</f>
        <v>39.528333333333336</v>
      </c>
    </row>
    <row r="7" spans="1:5" x14ac:dyDescent="0.3">
      <c r="A7" s="30">
        <v>6</v>
      </c>
      <c r="B7" s="30" t="s">
        <v>4</v>
      </c>
      <c r="C7" s="31">
        <v>46162</v>
      </c>
      <c r="D7" s="32">
        <f>AVERAGE('Lịch sử giá'!D35:D64)</f>
        <v>39.650000000000006</v>
      </c>
    </row>
    <row r="8" spans="1:5" x14ac:dyDescent="0.3">
      <c r="A8" s="30">
        <v>7</v>
      </c>
      <c r="B8" s="30" t="s">
        <v>4</v>
      </c>
      <c r="C8" s="31">
        <v>46163</v>
      </c>
      <c r="D8" s="32">
        <f>AVERAGE('Lịch sử giá'!D36:D65)</f>
        <v>39.785000000000004</v>
      </c>
    </row>
    <row r="9" spans="1:5" x14ac:dyDescent="0.3">
      <c r="A9" s="30">
        <v>8</v>
      </c>
      <c r="B9" s="30" t="s">
        <v>4</v>
      </c>
      <c r="C9" s="31">
        <v>46164</v>
      </c>
      <c r="D9" s="32">
        <f>AVERAGE('Lịch sử giá'!D37:D66)</f>
        <v>39.896666666666675</v>
      </c>
    </row>
    <row r="10" spans="1:5" x14ac:dyDescent="0.3">
      <c r="A10" s="30">
        <v>9</v>
      </c>
      <c r="B10" s="30" t="s">
        <v>4</v>
      </c>
      <c r="C10" s="31">
        <v>46165</v>
      </c>
      <c r="D10" s="32">
        <f>AVERAGE('Lịch sử giá'!D38:D67)</f>
        <v>39.870000000000005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2026-05-25T08:55:00Z</dcterms:modified>
</cp:coreProperties>
</file>