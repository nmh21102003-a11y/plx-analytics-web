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633" documentId="13_ncr:1_{FBBB51D9-8AD3-4C6B-A21A-B98EDB197521}" xr6:coauthVersionLast="47" xr6:coauthVersionMax="47" xr10:uidLastSave="{30891FE5-DDCD-4D12-A065-8669446E3809}"/>
  <bookViews>
    <workbookView xWindow="-98" yWindow="-98" windowWidth="19396" windowHeight="11475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4" i="2" l="1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<sst xmlns="http://schemas.openxmlformats.org/spreadsheetml/2006/main" count="127" uniqueCount="11">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</sst>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3"/>
  <sheetViews>
    <sheetView tabSelected="1" zoomScale="115" zoomScaleNormal="115" workbookViewId="0">
      <pane ySplit="1" topLeftCell="A67" activePane="bottomLeft" state="frozen"/>
      <selection pane="bottomLeft" activeCell="G76" sqref="G76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8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8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</row>
    <row r="3" spans="1:8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</row>
    <row r="4" spans="1:8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</row>
    <row r="5" spans="1:8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8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8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8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8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8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8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8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8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8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8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8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8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8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8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8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8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8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8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8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8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8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8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8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8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8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</row>
    <row r="31" spans="1:8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</row>
    <row r="32" spans="1:8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11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11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11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11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11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11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11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  <row r="56" spans="1:11" ht="15" customHeight="1" x14ac:dyDescent="0.45">
      <c r="A56" s="3">
        <v>55</v>
      </c>
      <c r="B56" s="3" t="s">
        <v>2</v>
      </c>
      <c r="C56" s="4">
        <v>46192</v>
      </c>
      <c r="D56" s="21">
        <v>39.1</v>
      </c>
      <c r="E56" s="21">
        <v>39.15</v>
      </c>
      <c r="F56" s="21">
        <v>38.6</v>
      </c>
      <c r="G56" s="21">
        <v>38.65</v>
      </c>
      <c r="H56" s="19">
        <v>1532600</v>
      </c>
    </row>
    <row r="57" spans="1:11" x14ac:dyDescent="0.45">
      <c r="A57" s="3">
        <v>56</v>
      </c>
      <c r="B57" s="3" t="s">
        <v>2</v>
      </c>
      <c r="C57" s="4">
        <v>46195</v>
      </c>
      <c r="D57" s="21">
        <v>38.799999999999997</v>
      </c>
      <c r="E57" s="21">
        <v>39.299999999999997</v>
      </c>
      <c r="F57" s="21">
        <v>38.65</v>
      </c>
      <c r="G57" s="21">
        <v>38.65</v>
      </c>
      <c r="H57" s="19">
        <v>1872100</v>
      </c>
    </row>
    <row r="58" spans="1:11" x14ac:dyDescent="0.45">
      <c r="A58" s="3">
        <v>57</v>
      </c>
      <c r="B58" s="3" t="s">
        <v>2</v>
      </c>
      <c r="C58" s="4">
        <v>46196</v>
      </c>
      <c r="D58" s="21">
        <v>38.9</v>
      </c>
      <c r="E58" s="21">
        <v>38.9</v>
      </c>
      <c r="F58" s="21">
        <v>37.450000000000003</v>
      </c>
      <c r="G58" s="21">
        <v>37.700000000000003</v>
      </c>
      <c r="H58" s="19">
        <v>4318200</v>
      </c>
      <c r="K58" s="5"/>
    </row>
    <row r="59" spans="1:11" x14ac:dyDescent="0.45">
      <c r="A59" s="3">
        <v>58</v>
      </c>
      <c r="B59" s="3" t="s">
        <v>2</v>
      </c>
      <c r="C59" s="4">
        <v>46197</v>
      </c>
      <c r="D59" s="21">
        <v>37.75</v>
      </c>
      <c r="E59" s="21">
        <v>38.200000000000003</v>
      </c>
      <c r="F59" s="21">
        <v>36.85</v>
      </c>
      <c r="G59" s="21">
        <v>37.799999999999997</v>
      </c>
      <c r="H59" s="19">
        <v>1914700</v>
      </c>
    </row>
    <row r="60" spans="1:11" x14ac:dyDescent="0.45">
      <c r="A60" s="3">
        <v>59</v>
      </c>
      <c r="B60" s="3" t="s">
        <v>2</v>
      </c>
      <c r="C60" s="4">
        <v>46198</v>
      </c>
      <c r="D60" s="21">
        <v>37.75</v>
      </c>
      <c r="E60" s="21">
        <v>37.799999999999997</v>
      </c>
      <c r="F60" s="21">
        <v>37</v>
      </c>
      <c r="G60" s="21">
        <v>37.25</v>
      </c>
      <c r="H60" s="19">
        <v>907100</v>
      </c>
    </row>
    <row r="61" spans="1:11" x14ac:dyDescent="0.45">
      <c r="A61" s="3">
        <v>60</v>
      </c>
      <c r="B61" s="3" t="s">
        <v>2</v>
      </c>
      <c r="C61" s="4">
        <v>46199</v>
      </c>
      <c r="D61" s="21">
        <v>37.4</v>
      </c>
      <c r="E61" s="21">
        <v>37.549999999999997</v>
      </c>
      <c r="F61" s="21">
        <v>36.799999999999997</v>
      </c>
      <c r="G61" s="21">
        <v>36.799999999999997</v>
      </c>
      <c r="H61" s="19">
        <v>1716200</v>
      </c>
    </row>
    <row r="62" spans="1:11" x14ac:dyDescent="0.45">
      <c r="A62" s="3">
        <v>61</v>
      </c>
      <c r="B62" s="3" t="s">
        <v>2</v>
      </c>
      <c r="C62" s="4">
        <v>46202</v>
      </c>
      <c r="D62" s="21">
        <v>36.9</v>
      </c>
      <c r="E62" s="21">
        <v>37.75</v>
      </c>
      <c r="F62" s="21">
        <v>36.85</v>
      </c>
      <c r="G62" s="21">
        <v>37.25</v>
      </c>
      <c r="H62" s="19">
        <v>1256200</v>
      </c>
      <c r="I62" s="5"/>
    </row>
    <row r="63" spans="1:11" x14ac:dyDescent="0.45">
      <c r="A63" s="3">
        <v>62</v>
      </c>
      <c r="B63" s="3" t="s">
        <v>2</v>
      </c>
      <c r="C63" s="4">
        <v>46203</v>
      </c>
      <c r="D63" s="21">
        <v>37.299999999999997</v>
      </c>
      <c r="E63" s="21">
        <v>37.6</v>
      </c>
      <c r="F63" s="21">
        <v>36.9</v>
      </c>
      <c r="G63" s="21">
        <v>36.950000000000003</v>
      </c>
      <c r="H63" s="19">
        <v>1153800</v>
      </c>
    </row>
    <row r="64" spans="1:11" x14ac:dyDescent="0.45">
      <c r="A64" s="3">
        <v>63</v>
      </c>
      <c r="B64" s="3" t="s">
        <v>2</v>
      </c>
      <c r="C64" s="4">
        <v>46204</v>
      </c>
      <c r="D64" s="21">
        <v>36.950000000000003</v>
      </c>
      <c r="E64" s="21">
        <v>38.5</v>
      </c>
      <c r="F64" s="21">
        <v>36.950000000000003</v>
      </c>
      <c r="G64" s="21">
        <v>37.450000000000003</v>
      </c>
      <c r="H64" s="19">
        <v>1561500</v>
      </c>
    </row>
    <row r="65" spans="1:8" x14ac:dyDescent="0.45">
      <c r="A65" s="3">
        <v>64</v>
      </c>
      <c r="B65" s="3" t="s">
        <v>2</v>
      </c>
      <c r="C65" s="4">
        <v>46205</v>
      </c>
      <c r="D65" s="21">
        <v>37.450000000000003</v>
      </c>
      <c r="E65" s="21">
        <v>37.450000000000003</v>
      </c>
      <c r="F65" s="21">
        <v>37.1</v>
      </c>
      <c r="G65" s="21">
        <v>37.200000000000003</v>
      </c>
      <c r="H65" s="19">
        <v>803400</v>
      </c>
    </row>
    <row r="66" spans="1:8" x14ac:dyDescent="0.45">
      <c r="A66" s="3">
        <v>65</v>
      </c>
      <c r="B66" s="3" t="s">
        <v>2</v>
      </c>
      <c r="C66" s="4">
        <v>46206</v>
      </c>
      <c r="D66" s="21">
        <v>37.450000000000003</v>
      </c>
      <c r="E66" s="21">
        <v>37.450000000000003</v>
      </c>
      <c r="F66" s="21">
        <v>36.549999999999997</v>
      </c>
      <c r="G66" s="21">
        <v>36.549999999999997</v>
      </c>
      <c r="H66" s="19">
        <v>2066900</v>
      </c>
    </row>
    <row r="67" spans="1:8" x14ac:dyDescent="0.45">
      <c r="A67" s="3">
        <v>66</v>
      </c>
      <c r="B67" s="3" t="s">
        <v>2</v>
      </c>
      <c r="C67" s="4">
        <v>46209</v>
      </c>
      <c r="D67" s="21">
        <v>36.6</v>
      </c>
      <c r="E67" s="21">
        <v>36.9</v>
      </c>
      <c r="F67" s="21">
        <v>34.15</v>
      </c>
      <c r="G67" s="21">
        <v>35.1</v>
      </c>
      <c r="H67" s="19">
        <v>3251400</v>
      </c>
    </row>
    <row r="68" spans="1:8" x14ac:dyDescent="0.45">
      <c r="A68" s="3">
        <v>67</v>
      </c>
      <c r="B68" s="3" t="s">
        <v>2</v>
      </c>
      <c r="C68" s="4">
        <v>46210</v>
      </c>
      <c r="D68" s="21">
        <v>35.25</v>
      </c>
      <c r="E68" s="21">
        <v>35.6</v>
      </c>
      <c r="F68" s="21">
        <v>34.549999999999997</v>
      </c>
      <c r="G68" s="21">
        <v>34.9</v>
      </c>
      <c r="H68" s="19">
        <v>2616200</v>
      </c>
    </row>
    <row r="69" spans="1:8" x14ac:dyDescent="0.45">
      <c r="A69" s="3">
        <v>68</v>
      </c>
      <c r="B69" s="3" t="s">
        <v>2</v>
      </c>
      <c r="C69" s="4">
        <v>46211</v>
      </c>
      <c r="D69" s="21">
        <v>35.5</v>
      </c>
      <c r="E69" s="21">
        <v>35.950000000000003</v>
      </c>
      <c r="F69" s="21">
        <v>35.049999999999997</v>
      </c>
      <c r="G69" s="21">
        <v>35.25</v>
      </c>
      <c r="H69" s="19">
        <v>2210100</v>
      </c>
    </row>
    <row r="70" spans="1:8" x14ac:dyDescent="0.45">
      <c r="A70" s="3">
        <v>69</v>
      </c>
      <c r="B70" s="3" t="s">
        <v>2</v>
      </c>
      <c r="C70" s="4">
        <v>46212</v>
      </c>
      <c r="D70" s="21">
        <v>35.799999999999997</v>
      </c>
      <c r="E70" s="21">
        <v>36.799999999999997</v>
      </c>
      <c r="F70" s="21">
        <v>35.700000000000003</v>
      </c>
      <c r="G70" s="21">
        <v>36</v>
      </c>
      <c r="H70" s="19">
        <v>2889900</v>
      </c>
    </row>
    <row r="71" spans="1:8" x14ac:dyDescent="0.45">
      <c r="A71" s="3">
        <v>70</v>
      </c>
      <c r="B71" s="3" t="s">
        <v>2</v>
      </c>
      <c r="C71" s="4">
        <v>46213</v>
      </c>
      <c r="D71" s="21">
        <v>36.6</v>
      </c>
      <c r="E71" s="21">
        <v>36.950000000000003</v>
      </c>
      <c r="F71" s="21">
        <v>36</v>
      </c>
      <c r="G71" s="21">
        <v>36</v>
      </c>
      <c r="H71" s="19">
        <v>2471800</v>
      </c>
    </row>
    <row r="72" spans="1:8" x14ac:dyDescent="0.45">
      <c r="A72" s="3">
        <v>71</v>
      </c>
      <c r="B72" s="3" t="s">
        <v>2</v>
      </c>
      <c r="C72" s="4">
        <v>46216</v>
      </c>
      <c r="D72" s="21">
        <v>36.5</v>
      </c>
      <c r="E72" s="21">
        <v>36.549999999999997</v>
      </c>
      <c r="F72" s="21">
        <v>35</v>
      </c>
      <c r="G72" s="21">
        <v>35.549999999999997</v>
      </c>
      <c r="H72" s="19">
        <v>1660600</v>
      </c>
    </row>
    <row r="73" spans="1:8" x14ac:dyDescent="0.45">
      <c r="A73" s="3">
        <v>72</v>
      </c>
      <c r="B73" s="3" t="s">
        <v>2</v>
      </c>
      <c r="C73" s="4">
        <v>46217</v>
      </c>
      <c r="D73" s="21">
        <v>36.15</v>
      </c>
      <c r="E73" s="21">
        <v>37.35</v>
      </c>
      <c r="F73" s="21">
        <v>35.549999999999997</v>
      </c>
      <c r="G73" s="21">
        <v>36.799999999999997</v>
      </c>
      <c r="H73" s="19">
        <v>3602800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44"/>
  <sheetViews>
    <sheetView topLeftCell="A30" zoomScaleNormal="100" workbookViewId="0">
      <selection activeCell="D44" sqref="D44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  <row r="27" spans="1:4" x14ac:dyDescent="0.45">
      <c r="A27" s="11">
        <v>26</v>
      </c>
      <c r="B27" s="14" t="s">
        <v>2</v>
      </c>
      <c r="C27" s="15">
        <v>46192</v>
      </c>
      <c r="D27" s="16">
        <f>AVERAGE('Lịch sử giá'!G27:G56)</f>
        <v>40.321666666666673</v>
      </c>
    </row>
    <row r="28" spans="1:4" x14ac:dyDescent="0.45">
      <c r="A28" s="11">
        <v>27</v>
      </c>
      <c r="B28" s="14" t="s">
        <v>2</v>
      </c>
      <c r="C28" s="15">
        <v>46195</v>
      </c>
      <c r="D28" s="16">
        <f>AVERAGE('Lịch sử giá'!G28:G57)</f>
        <v>40.38333333333334</v>
      </c>
    </row>
    <row r="29" spans="1:4" x14ac:dyDescent="0.45">
      <c r="A29" s="11">
        <v>28</v>
      </c>
      <c r="B29" s="14" t="s">
        <v>2</v>
      </c>
      <c r="C29" s="15">
        <v>46196</v>
      </c>
      <c r="D29" s="16">
        <f>AVERAGE('Lịch sử giá'!G29:G58)</f>
        <v>40.38000000000001</v>
      </c>
    </row>
    <row r="30" spans="1:4" x14ac:dyDescent="0.45">
      <c r="A30" s="11">
        <v>29</v>
      </c>
      <c r="B30" s="14" t="s">
        <v>2</v>
      </c>
      <c r="C30" s="15">
        <v>46197</v>
      </c>
      <c r="D30" s="16">
        <f>AVERAGE('Lịch sử giá'!G30:G59)</f>
        <v>40.295000000000002</v>
      </c>
    </row>
    <row r="31" spans="1:4" x14ac:dyDescent="0.45">
      <c r="A31" s="11">
        <v>30</v>
      </c>
      <c r="B31" s="14" t="s">
        <v>2</v>
      </c>
      <c r="C31" s="15">
        <v>46198</v>
      </c>
      <c r="D31" s="16">
        <f>AVERAGE('Lịch sử giá'!G31:G60)</f>
        <v>40.208333333333336</v>
      </c>
    </row>
    <row r="32" spans="1:4" x14ac:dyDescent="0.45">
      <c r="A32" s="11">
        <v>31</v>
      </c>
      <c r="B32" s="14" t="s">
        <v>2</v>
      </c>
      <c r="C32" s="15">
        <v>46199</v>
      </c>
      <c r="D32" s="16">
        <f>AVERAGE('Lịch sử giá'!G32:G61)</f>
        <v>40.028333333333329</v>
      </c>
    </row>
    <row r="33" spans="1:4" x14ac:dyDescent="0.45">
      <c r="A33" s="11">
        <v>32</v>
      </c>
      <c r="B33" s="14" t="s">
        <v>2</v>
      </c>
      <c r="C33" s="15">
        <v>46202</v>
      </c>
      <c r="D33" s="16">
        <f>AVERAGE('Lịch sử giá'!G33:G62)</f>
        <v>39.764999999999993</v>
      </c>
    </row>
    <row r="34" spans="1:4" x14ac:dyDescent="0.45">
      <c r="A34" s="11">
        <v>33</v>
      </c>
      <c r="B34" s="14" t="s">
        <v>2</v>
      </c>
      <c r="C34" s="15">
        <v>46203</v>
      </c>
      <c r="D34" s="16">
        <f>AVERAGE('Lịch sử giá'!G34:G63)</f>
        <v>39.596666666666671</v>
      </c>
    </row>
    <row r="35" spans="1:4" x14ac:dyDescent="0.45">
      <c r="A35" s="11">
        <v>34</v>
      </c>
      <c r="B35" s="14" t="s">
        <v>2</v>
      </c>
      <c r="C35" s="15">
        <v>46204</v>
      </c>
      <c r="D35" s="16">
        <f>AVERAGE('Lịch sử giá'!G35:G64)</f>
        <v>39.383333333333333</v>
      </c>
    </row>
    <row r="36" spans="1:4" x14ac:dyDescent="0.45">
      <c r="A36" s="11">
        <v>35</v>
      </c>
      <c r="B36" s="14" t="s">
        <v>2</v>
      </c>
      <c r="C36" s="15">
        <v>46205</v>
      </c>
      <c r="D36" s="16">
        <f>AVERAGE('Lịch sử giá'!G36:G65)</f>
        <v>39.19166666666667</v>
      </c>
    </row>
    <row r="37" spans="1:4" x14ac:dyDescent="0.45">
      <c r="A37" s="11">
        <v>36</v>
      </c>
      <c r="B37" s="14" t="s">
        <v>2</v>
      </c>
      <c r="C37" s="15">
        <v>46206</v>
      </c>
      <c r="D37" s="16">
        <f>AVERAGE('Lịch sử giá'!G37:G66)</f>
        <v>39.011666666666663</v>
      </c>
    </row>
    <row r="38" spans="1:4" x14ac:dyDescent="0.45">
      <c r="A38" s="11">
        <v>37</v>
      </c>
      <c r="B38" s="14" t="s">
        <v>2</v>
      </c>
      <c r="C38" s="15">
        <v>46209</v>
      </c>
      <c r="D38" s="16">
        <f>AVERAGE('Lịch sử giá'!G38:G67)</f>
        <v>38.858333333333327</v>
      </c>
    </row>
    <row r="39" spans="1:4" x14ac:dyDescent="0.45">
      <c r="A39" s="11">
        <v>38</v>
      </c>
      <c r="B39" s="14" t="s">
        <v>2</v>
      </c>
      <c r="C39" s="15">
        <v>46210</v>
      </c>
      <c r="D39" s="16">
        <f>AVERAGE('Lịch sử giá'!G39:G68)</f>
        <v>38.688333333333325</v>
      </c>
    </row>
    <row r="40" spans="1:4" x14ac:dyDescent="0.45">
      <c r="A40" s="11">
        <v>39</v>
      </c>
      <c r="B40" s="14" t="s">
        <v>2</v>
      </c>
      <c r="C40" s="15">
        <v>46211</v>
      </c>
      <c r="D40" s="16">
        <f>AVERAGE('Lịch sử giá'!G40:G69)</f>
        <v>38.548333333333332</v>
      </c>
    </row>
    <row r="41" spans="1:4" x14ac:dyDescent="0.45">
      <c r="A41" s="11">
        <v>40</v>
      </c>
      <c r="B41" s="14" t="s">
        <v>2</v>
      </c>
      <c r="C41" s="15">
        <v>46212</v>
      </c>
      <c r="D41" s="16">
        <f>AVERAGE('Lịch sử giá'!G41:G70)</f>
        <v>38.43333333333333</v>
      </c>
    </row>
    <row r="42" spans="1:4" x14ac:dyDescent="0.45">
      <c r="A42" s="11">
        <v>41</v>
      </c>
      <c r="B42" s="14" t="s">
        <v>2</v>
      </c>
      <c r="C42" s="15">
        <v>46213</v>
      </c>
      <c r="D42" s="16">
        <f>AVERAGE('Lịch sử giá'!G42:G71)</f>
        <v>38.266666666666673</v>
      </c>
    </row>
    <row r="43" spans="1:4" x14ac:dyDescent="0.45">
      <c r="A43" s="11">
        <v>42</v>
      </c>
      <c r="B43" s="14" t="s">
        <v>2</v>
      </c>
      <c r="C43" s="15">
        <v>46216</v>
      </c>
      <c r="D43" s="16">
        <f>AVERAGE('Lịch sử giá'!G43:G72)</f>
        <v>38.126666666666665</v>
      </c>
    </row>
    <row r="44" spans="1:4" x14ac:dyDescent="0.45">
      <c r="A44" s="11">
        <v>43</v>
      </c>
      <c r="B44" s="14" t="s">
        <v>2</v>
      </c>
      <c r="C44" s="15">
        <v>46217</v>
      </c>
      <c r="D44" s="16">
        <f>AVERAGE('Lịch sử giá'!G44:G73)</f>
        <v>38.05833333333333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2026-07-14T09:52:21Z</dcterms:modified>
</cp:coreProperties>
</file>