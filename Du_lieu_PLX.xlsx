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80" documentId="13_ncr:1_{FBBB51D9-8AD3-4C6B-A21A-B98EDB197521}" xr6:coauthVersionLast="47" xr6:coauthVersionMax="47" xr10:uidLastSave="{7D45643E-9611-42EF-998B-A1CF4855A45E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" i="2" l="1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<sst xmlns="http://schemas.openxmlformats.org/spreadsheetml/2006/main" count="137" uniqueCount="11">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</sst>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zoomScale="115" zoomScaleNormal="115" workbookViewId="0">
      <pane ySplit="1" topLeftCell="A64" activePane="bottomLeft" state="frozen"/>
      <selection pane="bottomLeft" activeCell="G78" sqref="G78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  <row r="74" spans="1:8" x14ac:dyDescent="0.45">
      <c r="A74" s="3">
        <v>73</v>
      </c>
      <c r="B74" s="3" t="s">
        <v>2</v>
      </c>
      <c r="C74" s="4">
        <v>46218</v>
      </c>
      <c r="D74" s="21">
        <v>36.950000000000003</v>
      </c>
      <c r="E74" s="21">
        <v>36.950000000000003</v>
      </c>
      <c r="F74" s="21">
        <v>36.049999999999997</v>
      </c>
      <c r="G74" s="21">
        <v>36.049999999999997</v>
      </c>
      <c r="H74" s="19">
        <v>1498800</v>
      </c>
    </row>
    <row r="75" spans="1:8" x14ac:dyDescent="0.45">
      <c r="A75" s="3">
        <v>74</v>
      </c>
      <c r="B75" s="3" t="s">
        <v>2</v>
      </c>
      <c r="C75" s="4">
        <v>46219</v>
      </c>
      <c r="D75" s="21">
        <v>36.1</v>
      </c>
      <c r="E75" s="21">
        <v>36.549999999999997</v>
      </c>
      <c r="F75" s="21">
        <v>34.5</v>
      </c>
      <c r="G75" s="21">
        <v>35.9</v>
      </c>
      <c r="H75" s="19">
        <v>2072000</v>
      </c>
    </row>
    <row r="76" spans="1:8" x14ac:dyDescent="0.45">
      <c r="A76" s="3">
        <v>75</v>
      </c>
      <c r="B76" s="3" t="s">
        <v>2</v>
      </c>
      <c r="C76" s="4">
        <v>46220</v>
      </c>
      <c r="D76" s="21">
        <v>35.9</v>
      </c>
      <c r="E76" s="21">
        <v>36</v>
      </c>
      <c r="F76" s="21">
        <v>35.1</v>
      </c>
      <c r="G76" s="21">
        <v>35.200000000000003</v>
      </c>
      <c r="H76" s="19">
        <v>1001700</v>
      </c>
    </row>
    <row r="77" spans="1:8" x14ac:dyDescent="0.45">
      <c r="A77" s="3">
        <v>76</v>
      </c>
      <c r="B77" s="3" t="s">
        <v>2</v>
      </c>
      <c r="C77" s="4">
        <v>46223</v>
      </c>
      <c r="D77" s="21">
        <v>35.549999999999997</v>
      </c>
      <c r="E77" s="21">
        <v>35.85</v>
      </c>
      <c r="F77" s="21">
        <v>34.299999999999997</v>
      </c>
      <c r="G77" s="21">
        <v>34.299999999999997</v>
      </c>
      <c r="H77" s="19">
        <v>1701400</v>
      </c>
    </row>
    <row r="78" spans="1:8" x14ac:dyDescent="0.45">
      <c r="A78" s="3">
        <v>77</v>
      </c>
      <c r="B78" s="3" t="s">
        <v>2</v>
      </c>
      <c r="C78" s="4">
        <v>46224</v>
      </c>
      <c r="D78" s="21">
        <v>33.4</v>
      </c>
      <c r="E78" s="21">
        <v>34.299999999999997</v>
      </c>
      <c r="F78" s="21">
        <v>31.9</v>
      </c>
      <c r="G78" s="21">
        <v>32.65</v>
      </c>
      <c r="H78" s="19">
        <v>3064500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9"/>
  <sheetViews>
    <sheetView tabSelected="1" topLeftCell="A30" zoomScaleNormal="100" workbookViewId="0">
      <selection activeCell="E46" sqref="E46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  <row r="45" spans="1:4" x14ac:dyDescent="0.45">
      <c r="A45" s="11">
        <v>44</v>
      </c>
      <c r="B45" s="14" t="s">
        <v>2</v>
      </c>
      <c r="C45" s="15">
        <v>46218</v>
      </c>
      <c r="D45" s="16">
        <f>AVERAGE('Lịch sử giá'!G45:G74)</f>
        <v>37.954999999999998</v>
      </c>
    </row>
    <row r="46" spans="1:4" x14ac:dyDescent="0.45">
      <c r="A46" s="11">
        <v>45</v>
      </c>
      <c r="B46" s="14" t="s">
        <v>2</v>
      </c>
      <c r="C46" s="15">
        <v>46219</v>
      </c>
      <c r="D46" s="16">
        <f>AVERAGE('Lịch sử giá'!G46:G75)</f>
        <v>37.756666666666668</v>
      </c>
    </row>
    <row r="47" spans="1:4" x14ac:dyDescent="0.45">
      <c r="A47" s="11">
        <v>46</v>
      </c>
      <c r="B47" s="14" t="s">
        <v>2</v>
      </c>
      <c r="C47" s="15">
        <v>46220</v>
      </c>
      <c r="D47" s="16">
        <f>AVERAGE('Lịch sử giá'!G47:G76)</f>
        <v>37.53</v>
      </c>
    </row>
    <row r="48" spans="1:4" x14ac:dyDescent="0.45">
      <c r="A48" s="11">
        <v>47</v>
      </c>
      <c r="B48" s="14" t="s">
        <v>2</v>
      </c>
      <c r="C48" s="15">
        <v>46223</v>
      </c>
      <c r="D48" s="16">
        <f>AVERAGE('Lịch sử giá'!G48:G77)</f>
        <v>37.283333333333331</v>
      </c>
    </row>
    <row r="49" spans="1:4" x14ac:dyDescent="0.45">
      <c r="A49" s="11">
        <v>48</v>
      </c>
      <c r="B49" s="14" t="s">
        <v>2</v>
      </c>
      <c r="C49" s="15">
        <v>46224</v>
      </c>
      <c r="D49" s="16">
        <f>AVERAGE('Lịch sử giá'!G49:G78)</f>
        <v>37.021666666666661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2026-07-21T09:44:34Z</dcterms:modified>
</cp:coreProperties>
</file>